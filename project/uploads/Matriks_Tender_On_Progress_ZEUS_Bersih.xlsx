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025-2026" sheetId="1" state="visible" r:id="rId3"/>
    <sheet name="2024-2025" sheetId="2" state="visible" r:id="rId4"/>
    <sheet name="2023-2024" sheetId="3" state="visible" r:id="rId5"/>
    <sheet name="2022-2021" sheetId="4" state="visible" r:id="rId6"/>
    <sheet name="ALL" sheetId="5" state="visible" r:id="rId7"/>
    <sheet name="Rekap" sheetId="6" state="visible" r:id="rId8"/>
    <sheet name="Log &amp; Catatan" sheetId="7" state="visible" r:id="rId9"/>
  </sheets>
  <definedNames>
    <definedName function="false" hidden="true" localSheetId="3" name="_xlnm._FilterDatabase" vbProcedure="false">'2022-2021'!$A$4:$AD$33</definedName>
    <definedName function="false" hidden="true" localSheetId="2" name="_xlnm._FilterDatabase" vbProcedure="false">'2023-2024'!$A$4:$AD$60</definedName>
    <definedName function="false" hidden="true" localSheetId="1" name="_xlnm._FilterDatabase" vbProcedure="false">'2024-2025'!$A$4:$AD$88</definedName>
    <definedName function="false" hidden="true" localSheetId="0" name="_xlnm._FilterDatabase" vbProcedure="false">'2025-2026'!$A$4:$AD$41</definedName>
    <definedName function="false" hidden="true" localSheetId="4" name="_xlnm._FilterDatabase" vbProcedure="false">ALL!$A$4:$AD$75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<sst xmlns="http://schemas.openxmlformats.org/spreadsheetml/2006/main" count="2436" uniqueCount="798">
  <si>
    <t xml:space="preserve">MATRIKS TENDER ON PROGRESS ZEUS</t>
  </si>
  <si>
    <t xml:space="preserve">Periode 2025-2026   |   sheet: 2025-2026</t>
  </si>
  <si>
    <t xml:space="preserve">Status (Tanggal Milestone)</t>
  </si>
  <si>
    <t xml:space="preserve">Pembuatan PO Screening Test</t>
  </si>
  <si>
    <t xml:space="preserve">No</t>
  </si>
  <si>
    <t xml:space="preserve">Area</t>
  </si>
  <si>
    <t xml:space="preserve">Coll. No. Tender</t>
  </si>
  <si>
    <t xml:space="preserve">Customer</t>
  </si>
  <si>
    <t xml:space="preserve">Product</t>
  </si>
  <si>
    <t xml:space="preserve">Entitas/Konsorsium</t>
  </si>
  <si>
    <t xml:space="preserve">Qty (Liter/Barel)</t>
  </si>
  <si>
    <t xml:space="preserve">OE (Rp)</t>
  </si>
  <si>
    <t xml:space="preserve">OE Catatan</t>
  </si>
  <si>
    <t xml:space="preserve">IDR/L</t>
  </si>
  <si>
    <t xml:space="preserve">Regist</t>
  </si>
  <si>
    <t xml:space="preserve">PQ</t>
  </si>
  <si>
    <t xml:space="preserve">Technical PQ</t>
  </si>
  <si>
    <t xml:space="preserve">Prebid</t>
  </si>
  <si>
    <t xml:space="preserve">Second Prebid</t>
  </si>
  <si>
    <t xml:space="preserve">Technical Bidding</t>
  </si>
  <si>
    <t xml:space="preserve">Sampel Chemical diterima di Lab Test</t>
  </si>
  <si>
    <t xml:space="preserve">Pengiriman Bukti Pembayaran Lab Independent</t>
  </si>
  <si>
    <t xml:space="preserve">Pemasukan Dokumen Penawaran</t>
  </si>
  <si>
    <t xml:space="preserve">Field Test</t>
  </si>
  <si>
    <t xml:space="preserve">Open Bid</t>
  </si>
  <si>
    <t xml:space="preserve">First Delivery</t>
  </si>
  <si>
    <t xml:space="preserve">Result</t>
  </si>
  <si>
    <t xml:space="preserve">Carry-over</t>
  </si>
  <si>
    <t xml:space="preserve">Remarks</t>
  </si>
  <si>
    <t xml:space="preserve">Nilai Proyek Fix/Nilai Penawaran Kita</t>
  </si>
  <si>
    <t xml:space="preserve">Remark</t>
  </si>
  <si>
    <t xml:space="preserve">P&amp;L</t>
  </si>
  <si>
    <t xml:space="preserve">Checklist Document</t>
  </si>
  <si>
    <t xml:space="preserve">Catatan Internal</t>
  </si>
  <si>
    <t xml:space="preserve">Sumatera</t>
  </si>
  <si>
    <t xml:space="preserve">Petrochina International Jabung Ltd.</t>
  </si>
  <si>
    <t xml:space="preserve">Production Chemical Kompetisi di Petrochina Jabung</t>
  </si>
  <si>
    <t xml:space="preserve">ZKI</t>
  </si>
  <si>
    <t xml:space="preserve">- Plant visit Jabek tanggal 4 Agustus 2025
- Field test tanggal 1 - 7 Februari 2026</t>
  </si>
  <si>
    <t xml:space="preserve">CS71965</t>
  </si>
  <si>
    <t xml:space="preserve">PT Medco E &amp; P Indonesia</t>
  </si>
  <si>
    <t xml:space="preserve">Chemical Treatment and Performance Observation Services for Produced Water and Gas Treatment in SSB and Lematang</t>
  </si>
  <si>
    <t xml:space="preserve">Lanjutan dari 2024-2025</t>
  </si>
  <si>
    <t xml:space="preserve">- Field Test Deoiler (Jene Station) : 11 - 19 Februari 2026
- Field Test H2S Scavenger (Matra Station) : 20 - 28 Februari 2026</t>
  </si>
  <si>
    <t xml:space="preserve">Jawa</t>
  </si>
  <si>
    <t xml:space="preserve">GX03051759A</t>
  </si>
  <si>
    <t xml:space="preserve">PT Pertamina Hulu Energi ONWJ</t>
  </si>
  <si>
    <t xml:space="preserve">Pengadaan Consignment Agreement for the Purchase of Chemical 2025</t>
  </si>
  <si>
    <t xml:space="preserve">- Lolos PQ</t>
  </si>
  <si>
    <t xml:space="preserve">CS72107</t>
  </si>
  <si>
    <t xml:space="preserve">PT Medco E &amp; P Rimau</t>
  </si>
  <si>
    <t xml:space="preserve">CHEMICAL TREATMENT AND PERFORMANCE OBSERVATION SERVICES FOR PRODUCED WATER RIMAU</t>
  </si>
  <si>
    <t xml:space="preserve">WITHDRAW</t>
  </si>
  <si>
    <t xml:space="preserve">- Field Test : 12 - 20 Januari 2026
- Rapat Penjelasan PQ tahap 3 Tanggal 4 Juni 2026
Note:
memutuskan tidak ikut field test ulang</t>
  </si>
  <si>
    <t xml:space="preserve">SA10050767C</t>
  </si>
  <si>
    <t xml:space="preserve">PT Pertamina EP</t>
  </si>
  <si>
    <t xml:space="preserve">JASA TREATMENT FLUIDA PRODUKSI DAN PENGINJEKSIAN CHEMICAL POUR POINT DEPRESSANT (PPD) DENGAN KONSEP TOTAL SOLUTION LIMAU FIELD</t>
  </si>
  <si>
    <t xml:space="preserve">LOSS PRICE</t>
  </si>
  <si>
    <t xml:space="preserve">- Rapat penjelasan Lab Test 02 Oktober 2025
- Field Test : 24 - 28 Januari 2026
- Lulus Pembukaan Sampul 1
Ranking:
1. Farca Risa: 3,969,952,000
2. Eonchemicals: 4,641,655,000
3. Elnusa: 6,995,858,000
4. Zekindo: 7,875,318,000</t>
  </si>
  <si>
    <t xml:space="preserve">SRB-TDR-260-25</t>
  </si>
  <si>
    <t xml:space="preserve">PT. SELE RAYA BELIDA</t>
  </si>
  <si>
    <t xml:space="preserve">Pengadaan Pour Point Depresant untuk mendukung operasional di Sumur Sungai Anggur Selatan-1, Wilayah Kerja Belida</t>
  </si>
  <si>
    <t xml:space="preserve">Kalimantan</t>
  </si>
  <si>
    <t xml:space="preserve">SX14054033A</t>
  </si>
  <si>
    <t xml:space="preserve">PT Pertamina Hulu Mahakam</t>
  </si>
  <si>
    <t xml:space="preserve">Pengadaan Jasa Pengolahan South Area Production Liquid Treatment</t>
  </si>
  <si>
    <t xml:space="preserve">LOSS TECHNICAL (BOTTLE TEST)</t>
  </si>
  <si>
    <t xml:space="preserve">Test performa Demulsifier tidak memenuhi kriteria</t>
  </si>
  <si>
    <t xml:space="preserve">Papua</t>
  </si>
  <si>
    <t xml:space="preserve">4420003900A</t>
  </si>
  <si>
    <t xml:space="preserve">BP Berau Ltd</t>
  </si>
  <si>
    <t xml:space="preserve">RENCANA PRAKUALIFIKASI UNTUK PENGADAAN JASA TEKNIS UJI KEBOCORAN DAN N2 PURGING FASILITAS PRODUKSI TANGGUH, SERTA PEMASOKAN DAN PENGELOLAAN BAHAN KIMIA</t>
  </si>
  <si>
    <t xml:space="preserve">ZKI - BEI</t>
  </si>
  <si>
    <t xml:space="preserve">Tidak mendapatkan surat dukungan dari linde</t>
  </si>
  <si>
    <t xml:space="preserve">SX10053144C</t>
  </si>
  <si>
    <t xml:space="preserve">JASA PENYEDIAAN DEMULSIFIER SECARA PERFORMANCE BASED DI PERTAMINA PENDOPO FIELD</t>
  </si>
  <si>
    <t xml:space="preserve">Memundurkan diri karena harga yang ditawarkan tidak bisa mengikuti OE yang sudah ditetapkan</t>
  </si>
  <si>
    <t xml:space="preserve">GX13055420A</t>
  </si>
  <si>
    <t xml:space="preserve">PENGADAAN CHEMICAL CORROSION INHIBITOR SECARA COO SELAMA 3 (TIGA) TAHUN DI PERTAMINA EP ZONA 7</t>
  </si>
  <si>
    <t xml:space="preserve">Tidak Lulus Evaluasi Teknis</t>
  </si>
  <si>
    <t xml:space="preserve">SX04055769</t>
  </si>
  <si>
    <t xml:space="preserve">PT Pertamina Hulu Kalimantan Timur</t>
  </si>
  <si>
    <t xml:space="preserve">Penyediaan Jasa Bahan Kimia Produksi DOBS</t>
  </si>
  <si>
    <t xml:space="preserve">- Lulus Lab Test</t>
  </si>
  <si>
    <t xml:space="preserve">SX10054381B</t>
  </si>
  <si>
    <t xml:space="preserve">JASA TREATMENT PRODUCED WATER MENGGUNAKAN CHEMICAL SCALE INHIBITOR, CORROSION INHIBITOR, BIOCIDE, OXYGEN SCAVENGER DAN WATER CLARIFIER DENGAN KONSEP TOTAL SOLUTION BERIKUT JASA PENUNJANG DI ZONA 4 FIELD PRABUMULIH</t>
  </si>
  <si>
    <t xml:space="preserve">ZKI - RGA</t>
  </si>
  <si>
    <t xml:space="preserve">SX18057568A</t>
  </si>
  <si>
    <t xml:space="preserve">PT Pertamina EP Cepu</t>
  </si>
  <si>
    <t xml:space="preserve">Pengadaan Jasa Pengelolaan Bahan Kimia Pada Proses Pengolahan Air dan Gas di Zona 12 Regional 4 PT Pertamina EP Cepu</t>
  </si>
  <si>
    <t xml:space="preserve">LOSS TECHNICAL</t>
  </si>
  <si>
    <t xml:space="preserve">Dokumen tidak submit karena Dokumen technical belum lengkap</t>
  </si>
  <si>
    <t xml:space="preserve">SX13057022A</t>
  </si>
  <si>
    <t xml:space="preserve">JASA PENGGUNAAN DEMULSIFIER DI WILAYAH PT PERTAMINA EP ZONA 7 OGT</t>
  </si>
  <si>
    <t xml:space="preserve">SX10055022B</t>
  </si>
  <si>
    <t xml:space="preserve">JASA TREATMENT PRODUCED FLUID MENGGUNAKAN CHEMICAL DEMULSIFIER DENGAN KONSEP TOTAL SOLUTION BERIKUT JASA PENUNJANG DI PT. PERTAMINA EP ZONA 4 FIELD PRABUMULIH</t>
  </si>
  <si>
    <t xml:space="preserve">-Sudah ditetapkan calon pemenang PT EONCHEMICALS PUTRA</t>
  </si>
  <si>
    <t xml:space="preserve">GX13058666A</t>
  </si>
  <si>
    <t xml:space="preserve">PENGADAAN SCALE INHIBITOR SECARA CALL OF ORDER (COO) SELAMA 3 TAHUN DI PT PERTAMINA EP ZONA 7</t>
  </si>
  <si>
    <t xml:space="preserve">CANCELED</t>
  </si>
  <si>
    <t xml:space="preserve">- Tender BATAL karena Maksimal 60 (enam puluh) hari kerja untuk pelelangan barang.</t>
  </si>
  <si>
    <t xml:space="preserve">SX12069030A</t>
  </si>
  <si>
    <t xml:space="preserve">PT Pertamina Hulu Energi OSES</t>
  </si>
  <si>
    <t xml:space="preserve">Pengadaan Jasa Chemical Supply and Service for Gas Operation</t>
  </si>
  <si>
    <t xml:space="preserve">- 19 Mei 2026 site visit ke Jababeka
Ranking :
1.  CATUR INTI CHEMICAL : 32,067,816,660
2. LAMURINDO : 39,981,815,775
3. ZEKINDO : 40,668,658,571 4
4. LBU: 42,921,945,000
5. ELNUSA PETROFIN: 53,872,371,861</t>
  </si>
  <si>
    <t xml:space="preserve">GX14059143A</t>
  </si>
  <si>
    <t xml:space="preserve">Pengadaan Bahan Kimia Reverse Demulsifier CPA</t>
  </si>
  <si>
    <t xml:space="preserve">Tidak memenuhi Persyaratan Teknis yang tertera pada
Dokumen Prakualifikasi (Tahap II) pada Teknis Khusus
ketentuan II.B, butir 5 yaitu:
Test Performa (Uji Laboratorium) &amp; HSSE terhadap
MSDS:
1. oil content &gt; 10 ppm
2. Nilai Efektifitas &lt; 90%.
3. Data Toksikologi LC 50 tidak tersedia</t>
  </si>
  <si>
    <t xml:space="preserve">GX17059342A</t>
  </si>
  <si>
    <t xml:space="preserve">Pengadaan Chelating Agent Untuk Sulfur Recovery Unit (SRU) di PT Pertamina EP Sukowati Field</t>
  </si>
  <si>
    <t xml:space="preserve">- Submit sample ke LAPI ITB : 30 Januari 2026
Dinyatakan Tidak Lulus Prakualifikasi Tahap Uji Laboratorium
dikarenakan :
1. Pada Parameter Compatibilty with existing chelating
 Larutan tidak tercampur sempurna, keruh dan ada
 endapan
2. Pada Klarifikasi Prakualifikasi hasil Uji laboratorium
 dengan tanggal 6 April 2026, PT Zeus Kimiatama
 Indonesia memahami, menyetujui dan menerima
 penjelasan atas hasil laboratorium yang sudah
 disampaikan</t>
  </si>
  <si>
    <t xml:space="preserve">192-OPS-PEB-III-2026</t>
  </si>
  <si>
    <t xml:space="preserve">PT. Prima Energi Bawean</t>
  </si>
  <si>
    <t xml:space="preserve">Kebutuhan Demulsifier dan Wax Inhibitor</t>
  </si>
  <si>
    <t xml:space="preserve">GX16000040A</t>
  </si>
  <si>
    <t xml:space="preserve">Gas Corrosion Inhibitor untuk Lapangan Bunyu</t>
  </si>
  <si>
    <t xml:space="preserve">Peringkat 3
1. Lamurindo : Rp 211,183,750.00
2. Elunusa Petrofin : 263,890,000.00
3. ZEKINDO : 307,998,950.00
4. Mitrabina Rekaniaga : 296,803,500.00
5. Rakhara Chemical : 375,000,000.00</t>
  </si>
  <si>
    <t xml:space="preserve">GX04059917A</t>
  </si>
  <si>
    <t xml:space="preserve">PT Pertamina Hulu Sanga Sanga</t>
  </si>
  <si>
    <t xml:space="preserve">Konsinyasi Oil Treating PHSS</t>
  </si>
  <si>
    <t xml:space="preserve">D263/OM#1425</t>
  </si>
  <si>
    <t xml:space="preserve">Scale Inhibitor</t>
  </si>
  <si>
    <t xml:space="preserve">GPHR00756A</t>
  </si>
  <si>
    <t xml:space="preserve">PT Pertamina Hulu Rokan</t>
  </si>
  <si>
    <t xml:space="preserve">Pengadaan Chemical Coagulant &amp; Flocculant</t>
  </si>
  <si>
    <t xml:space="preserve">CS79359</t>
  </si>
  <si>
    <t xml:space="preserve">Medco E &amp; P Rimau</t>
  </si>
  <si>
    <t xml:space="preserve">Provision of Chemical Treatment and Performance Monitoring Services for Gas Rimau</t>
  </si>
  <si>
    <t xml:space="preserve">- 18 Mei 2026 : Meeting FT</t>
  </si>
  <si>
    <t xml:space="preserve">CM80275</t>
  </si>
  <si>
    <t xml:space="preserve">Medco E &amp; P Indonesia</t>
  </si>
  <si>
    <t xml:space="preserve">CALL OFF ORDER POUR POINT DEPRESSANT (PPD), DEMULSIFIER AND SCALE INHIBITOR FOR META, LICA AND MATRA</t>
  </si>
  <si>
    <t xml:space="preserve">- 29 April 2026. pukul 14.00 WIB : Meeting Tahap 2 (Lab Test)
Note:
1 (satu) dari 5 (lima) pengujian tidak memenuhi kriteria kelulusan yang telah ditetapkan.</t>
  </si>
  <si>
    <t xml:space="preserve">D263 / RO#1425 / QR#2393</t>
  </si>
  <si>
    <t xml:space="preserve">SCALE INHIBITOR (WATER TREATMENT)</t>
  </si>
  <si>
    <t xml:space="preserve">- Openbid dilakukan oleh internal Petrochina</t>
  </si>
  <si>
    <t xml:space="preserve">D263 / RO#1535 / QR#2456</t>
  </si>
  <si>
    <t xml:space="preserve">PARAFIN SOLVENT</t>
  </si>
  <si>
    <t xml:space="preserve">001/MGAUE/VI/2026</t>
  </si>
  <si>
    <t xml:space="preserve">PT. MGA Utama Energi</t>
  </si>
  <si>
    <t xml:space="preserve">Pekerjaan Chemical Injection Crude Oil Sepanjang &amp; Pagerungan</t>
  </si>
  <si>
    <t xml:space="preserve">GX13063661A</t>
  </si>
  <si>
    <t xml:space="preserve">GX13063750A</t>
  </si>
  <si>
    <t xml:space="preserve">Pengadaan Chemical Corrosion Inhibitor for Wet Gas secara Call off Order (COO) selama 2 Tahun untuk Memenuhi Kebutuhan Operasional di PT Pertamina EP Zona 7</t>
  </si>
  <si>
    <t xml:space="preserve">COM-2605006</t>
  </si>
  <si>
    <t xml:space="preserve">Texcal Energy Mahato Inc.</t>
  </si>
  <si>
    <t xml:space="preserve">Provision of Blanket Chemicals Supply &amp; Services</t>
  </si>
  <si>
    <t xml:space="preserve">LOSS REGIST</t>
  </si>
  <si>
    <t xml:space="preserve">SPDA yang Perusahaan termasuk golongan usaha “Besar” sedangkan yang diminta Golongan usaha menengah</t>
  </si>
  <si>
    <t xml:space="preserve">192-OPS-PEB-III-2026 R1</t>
  </si>
  <si>
    <t xml:space="preserve">Provision Chemical Demulsifier and Wax Inhibitor for CW-2 R1</t>
  </si>
  <si>
    <t xml:space="preserve">D263/OM#1581/QR#2540</t>
  </si>
  <si>
    <t xml:space="preserve">CHEMICAL H2S SCAVENGER</t>
  </si>
  <si>
    <t xml:space="preserve">BOSL-B26-008</t>
  </si>
  <si>
    <t xml:space="preserve">Bass Oil Sukananti Limited</t>
  </si>
  <si>
    <t xml:space="preserve">Pengadaan Chemicals Demulsifier (DM), Pour Point Dispersant (PPD) dan Scale Inhibitor (SI) untuk selama 12 Bulan</t>
  </si>
  <si>
    <t xml:space="preserve">GX07000053A</t>
  </si>
  <si>
    <t xml:space="preserve">Pengadaan Chemical Stimulasi Sumuran Lirik Field Secara Call of Order (COO) Selama 3 (tiga) Tahun</t>
  </si>
  <si>
    <t xml:space="preserve">CM85112</t>
  </si>
  <si>
    <t xml:space="preserve">PT Medco E &amp; P Tarakan</t>
  </si>
  <si>
    <t xml:space="preserve">Call Off Order Deoiler &amp; Demulsifier</t>
  </si>
  <si>
    <t xml:space="preserve">Legenda warna kolom Status</t>
  </si>
  <si>
    <t xml:space="preserve">Tanggal sudah lewat / milestone terlewati</t>
  </si>
  <si>
    <t xml:space="preserve">7 sampai 14 hari menuju deadline (tender masih on going)</t>
  </si>
  <si>
    <t xml:space="preserve">Kurang dari 7 hari menuju deadline (tender masih on going)</t>
  </si>
  <si>
    <t xml:space="preserve">Result dikosongkan = tender masih ON GOING.</t>
  </si>
  <si>
    <t xml:space="preserve">Periode 2024-2025   |   sheet: 2024-2025</t>
  </si>
  <si>
    <t xml:space="preserve">SA17023583A</t>
  </si>
  <si>
    <t xml:space="preserve">PT Pertamina Hulu Energi WMO</t>
  </si>
  <si>
    <t xml:space="preserve">Integrated Chemical</t>
  </si>
  <si>
    <t xml:space="preserve">Dirahasiakan</t>
  </si>
  <si>
    <t xml:space="preserve">WIN</t>
  </si>
  <si>
    <t xml:space="preserve">Lanjutan dari 2023-2024</t>
  </si>
  <si>
    <t xml:space="preserve">- Sudah proses lab test di Sucofindo, sudah selesai &amp; lolos FT (pengumuman resmi dari panitia).
- Telah dilakukan pembukaan sampul 1 dan menunggu informasi/undangan selanjutnya terkait pembukaan sampul 2
- Lolos evaluasi administrasi dan teknis (sampul 1), next pembukaan sampul 2</t>
  </si>
  <si>
    <t xml:space="preserve">ada totetank, menunggu field trial, head to head dengan LBU (totetank daily 4 pcs saja sisanya mau dinego dengan ibc plastik, basket butuh 22); douglas basket 3 pallet, paralel cek ke yang laing; MEA : invite meeting minggu depan; cari harga triazine impor sendiri, source lain di lokal, MEA &amp; paraform dari luar</t>
  </si>
  <si>
    <t xml:space="preserve">GA14024755A</t>
  </si>
  <si>
    <t xml:space="preserve">Demulsifier Lapangan CPA</t>
  </si>
  <si>
    <t xml:space="preserve">Sudah proses open-bid (PT Zeus peringkat 4)</t>
  </si>
  <si>
    <t xml:space="preserve">surfaktan petrogresik</t>
  </si>
  <si>
    <t xml:space="preserve">follow up pendaftaran vendor</t>
  </si>
  <si>
    <t xml:space="preserve">GA14025375A</t>
  </si>
  <si>
    <t xml:space="preserve">PHM</t>
  </si>
  <si>
    <t xml:space="preserve">Biocide Glutaraldehyde</t>
  </si>
  <si>
    <t xml:space="preserve">- submit sample
- telah dilakukan pembukaan dokumen penawaran</t>
  </si>
  <si>
    <t xml:space="preserve">23.12.27 : sudah minta target price</t>
  </si>
  <si>
    <t xml:space="preserve">GA17024763A</t>
  </si>
  <si>
    <t xml:space="preserve">PEP Cepu</t>
  </si>
  <si>
    <t xml:space="preserve">Demulsifier</t>
  </si>
  <si>
    <t xml:space="preserve">V:\SOURCING ZEKINDO\@ 000_TENDER\21. 23.12_Tender O&amp;G_PEP Cepu</t>
  </si>
  <si>
    <t xml:space="preserve">SA14025585A</t>
  </si>
  <si>
    <t xml:space="preserve">North Area Production Liquid Treatment Service Contract</t>
  </si>
  <si>
    <t xml:space="preserve">- pengambilan sampel liquid 17-20 Nov, bawa 6 tincan, sudah submit sample
- Resampling PQ Teknis :
   Pengambilan sample di Handil II Base : 10 Maret 2024
   Submit sample di Jakarta : 27 Maret 2024
- Telah dilakukan open-bid sampul 1 (Admin dan Teknis)</t>
  </si>
  <si>
    <t xml:space="preserve">23.12.28 belum ada formula dari R&amp;D</t>
  </si>
  <si>
    <t xml:space="preserve">SHUH-230631A-A10</t>
  </si>
  <si>
    <t xml:space="preserve">PEP Zona 4 - Ramba</t>
  </si>
  <si>
    <t xml:space="preserve">Demulsifier &amp; Deoiler</t>
  </si>
  <si>
    <t xml:space="preserve">sampul 1 terlebih dahulu, pengambilan crude water 14/11, tahap klarifikasi/sanggahan atas hasil lab test</t>
  </si>
  <si>
    <t xml:space="preserve">LOST?</t>
  </si>
  <si>
    <t xml:space="preserve">SHUH-230634A-A10</t>
  </si>
  <si>
    <t xml:space="preserve">PEP Zona 4 - Limau</t>
  </si>
  <si>
    <t xml:space="preserve">PPD</t>
  </si>
  <si>
    <t xml:space="preserve">sampul 1 terlebih dahulu, pengambilan crude 6-8/11, pengujian sample di LEMIGAS, est. hasil mid januari, Lab test Lolos. Harga penawaran ranking 2</t>
  </si>
  <si>
    <t xml:space="preserve">submitted</t>
  </si>
  <si>
    <t xml:space="preserve">SUBMIT</t>
  </si>
  <si>
    <t xml:space="preserve">23110515-OR (Re-Tender)</t>
  </si>
  <si>
    <t xml:space="preserve">Premier Oil Natuna Sea B.V.</t>
  </si>
  <si>
    <t xml:space="preserve">Provision of Chemical Supply and Services</t>
  </si>
  <si>
    <t xml:space="preserve">$ 966.188 (USD)</t>
  </si>
  <si>
    <t xml:space="preserve">Sample chemical sudah ready, sudah submit sample dan dokumen penawaran, 26 januari 2024 technical clarification meeting</t>
  </si>
  <si>
    <t xml:space="preserve">jadwal bid mundur</t>
  </si>
  <si>
    <t xml:space="preserve">NOTIFY</t>
  </si>
  <si>
    <t xml:space="preserve">NDS-10115464</t>
  </si>
  <si>
    <t xml:space="preserve">ENI MUARA BAKAU B.V.</t>
  </si>
  <si>
    <t xml:space="preserve">Provision of Fluid Speciality Chemical Treatment Services</t>
  </si>
  <si>
    <t xml:space="preserve">GA07028191A</t>
  </si>
  <si>
    <t xml:space="preserve">PHE Jambi Merang</t>
  </si>
  <si>
    <t xml:space="preserve">Purchase of Specialty Chemicals</t>
  </si>
  <si>
    <t xml:space="preserve">- Jadwal pemasukan dokumen penawaran akan diinfo pada Pre-bid ke-2 stlh menunggu sample diterima oleh bidder
- Lab Independen menggunakan LAPI ITB, tanggal submission sample menunggu sample water dr PHE JM diterima di KBI
- Tahap Negosiasi Harga
- Menang</t>
  </si>
  <si>
    <t xml:space="preserve">jadwal bid mundur, sampel belum dapat</t>
  </si>
  <si>
    <t xml:space="preserve">SA04027442A</t>
  </si>
  <si>
    <t xml:space="preserve">Pertamina Hulu Kalimantan Timur (PHKT)</t>
  </si>
  <si>
    <t xml:space="preserve">Penyediaan Jasa Bahan Kimia Produksi DOBU-DOBS</t>
  </si>
  <si>
    <t xml:space="preserve">- Submit sample ke Lemigas : 7 Maret 2024
  Submit sample ke PHKT : 19 Maret 2024
- Pembukaan Sampul 1 DOBS dan DOBU
- Pembukaan sampul 2 DOBU</t>
  </si>
  <si>
    <t xml:space="preserve">29856</t>
  </si>
  <si>
    <t xml:space="preserve">Pertamina Gas</t>
  </si>
  <si>
    <t xml:space="preserve">Kontrak Payung Jasa Operasional dan Pemeliharaan Pekerjaan Injeksi Pour Point Depresant</t>
  </si>
  <si>
    <t xml:space="preserve">Tanggal 8 - 9 Januari 2024 pengambilan sample di Area Rokan</t>
  </si>
  <si>
    <t xml:space="preserve">SA15031136A</t>
  </si>
  <si>
    <t xml:space="preserve">PT Pertamina EP Zona 9
(Sanga-Sanga)</t>
  </si>
  <si>
    <t xml:space="preserve">Jasa Penyediaan Chemical,
Demulsifier &amp; Deoiler C/W Engineer dan PPD</t>
  </si>
  <si>
    <t xml:space="preserve">LOSS TECHNICAL (FIELD TRIAL)</t>
  </si>
  <si>
    <t xml:space="preserve">- Tanggal 16 April 2024 pengambilan sample dan masing-masing bidder membawa 2 wadah dengan penyediaan sample pertitik adalah 45 liter.
- Tanggal 29 Mei 2024 meeting koordinasi Field Test</t>
  </si>
  <si>
    <t xml:space="preserve">1/DPM/12/2023</t>
  </si>
  <si>
    <t xml:space="preserve">Jasa Penyediaan Polimer dan Fasilitas Injeksi Polimer untuk CEOR Minas Area-D Tahap-1</t>
  </si>
  <si>
    <t xml:space="preserve">ZKI - NUOER</t>
  </si>
  <si>
    <t xml:space="preserve">SHUH-240028A-A10</t>
  </si>
  <si>
    <t xml:space="preserve">PT Pertamina EP Zona 4</t>
  </si>
  <si>
    <t xml:space="preserve">Pengadaan Bahan Kimia dan Jasa Service Demulsifier dan Water Clarifier di Pertamina Zona 4 Field Ramba</t>
  </si>
  <si>
    <t xml:space="preserve">1/DPM/3/2024</t>
  </si>
  <si>
    <t xml:space="preserve">Pertamina Hulu Rokan (PHR)</t>
  </si>
  <si>
    <t xml:space="preserve">Jasa-Jasa Penyediaan Polimer, Reaktivasi dan Peningkatan Kapasitias Fasilitas On-plot untuk Proyek Pengembangan Minas CEOR Stage-1</t>
  </si>
  <si>
    <t xml:space="preserve">SA10033496A</t>
  </si>
  <si>
    <t xml:space="preserve">Jasa Service Treatment Fluida Produksi &amp; Penginjeksian Chemical Demulsifier Dengan Konsep Total Solutih di PT PERTAMINA EP Limau Field Selama 3 (Tiga) Tahun</t>
  </si>
  <si>
    <t xml:space="preserve">LOSS PQ ADMIN</t>
  </si>
  <si>
    <t xml:space="preserve">GA04029857A</t>
  </si>
  <si>
    <t xml:space="preserve">Pengadaan Bersama Kontrak COO General Chemical Regional 3</t>
  </si>
  <si>
    <t xml:space="preserve">GA14033525A</t>
  </si>
  <si>
    <t xml:space="preserve">Pengadaan PWT (Potable Water Treatment) untuk 1 (satu) tahun kontrak COO (Call Off Order)</t>
  </si>
  <si>
    <t xml:space="preserve">GA04029787A</t>
  </si>
  <si>
    <t xml:space="preserve">Pengadaan Bersama Kontrak COO Chemical Water Treatment Regional 3</t>
  </si>
  <si>
    <t xml:space="preserve">D263/RO#724/QR#1055</t>
  </si>
  <si>
    <t xml:space="preserve">Parafin Solvent</t>
  </si>
  <si>
    <t xml:space="preserve">GA17036317A</t>
  </si>
  <si>
    <t xml:space="preserve">Pengadaan Chemical Demulsifier untuk Operasional PT Pertamina EP Cepu Field</t>
  </si>
  <si>
    <t xml:space="preserve">NO INFO</t>
  </si>
  <si>
    <t xml:space="preserve">Hingga saat ini tidak ada kepastian kelanjutan</t>
  </si>
  <si>
    <t xml:space="preserve">GA17032921A</t>
  </si>
  <si>
    <t xml:space="preserve">PENGADAAN BAHAN KIMIA H2S SCAVENGER DI PT PERTAMINA EP
SUKOWATI FIELD SECARA CALL OF ORDER (COO)</t>
  </si>
  <si>
    <t xml:space="preserve">Telah dilakukan openbid, menunggu pengumuman resmi surat penunjukan pemenang</t>
  </si>
  <si>
    <t xml:space="preserve">13089</t>
  </si>
  <si>
    <t xml:space="preserve">Petronas (PC Ketapang II Ltd.)</t>
  </si>
  <si>
    <t xml:space="preserve">PROVISION OF INTEGRATED CHEMICALS SUPPLY &amp; TECHNICAL
SUPPORT SERVICES</t>
  </si>
  <si>
    <t xml:space="preserve">- Telah dilakukan openbid sampul 1
- Dilakukan site visit ke pabrik jababeka pada tanggal 13 Desember 2024 sebagai evaluasi teknis
- Tahap klarifikasi komersial setelah open bid sampul 2</t>
  </si>
  <si>
    <t xml:space="preserve">M/0358/15417/EEES</t>
  </si>
  <si>
    <t xml:space="preserve">Energy Equity Epic (Sengkang) Pty. Ltd.</t>
  </si>
  <si>
    <t xml:space="preserve">Supply of Corrosion Inhibitor</t>
  </si>
  <si>
    <t xml:space="preserve">Open-bid dilakukan oleh internal perusahaan</t>
  </si>
  <si>
    <t xml:space="preserve">- Plant visit Jabek tanggal 4 Agustus 2025</t>
  </si>
  <si>
    <t xml:space="preserve">SA17037613A</t>
  </si>
  <si>
    <t xml:space="preserve">JASA TREATMENT SCALE DI SUMUR DAN FASILITAS PRODUKSI DENGAN
CHEMICAL SCALE DAN CORROSION INHIBITOR</t>
  </si>
  <si>
    <t xml:space="preserve">Lolos Lab Test</t>
  </si>
  <si>
    <t xml:space="preserve">SA10039381A</t>
  </si>
  <si>
    <t xml:space="preserve">JASA TREATMENT PRODUCED FLUID, PRODUCED WATER DAN GAS MENGGUNAKAN CHEMICALS SCALE INHIBITOR, CORROSION INHIBITOR, BIOCIDE DAN H2S SCAVENGER DENGAN KONSEP TOTAL SOLUTION BERIKUT JASA PENUNJANG SELAMA 36 BULAN KALENDER DI PT. PERTAMINA EP LIMAU FIELD</t>
  </si>
  <si>
    <t xml:space="preserve">Loss HSE Plan (nilai di bawah 50%)</t>
  </si>
  <si>
    <t xml:space="preserve">044124</t>
  </si>
  <si>
    <t xml:space="preserve">PT Pertamina Gas</t>
  </si>
  <si>
    <t xml:space="preserve">Kontrak Payung Jasa Operasional dan Pemeliharaan Pekerjaan Injeksi Pour Point Depresant Rokan Area</t>
  </si>
  <si>
    <t xml:space="preserve">GA03044628A</t>
  </si>
  <si>
    <t xml:space="preserve">Consignment Agreement for the Purchase of Chemical</t>
  </si>
  <si>
    <t xml:space="preserve">- Submit Form RFI dan Summary Bid Data Sheet
- Pemasukan Dokumen Penawaran diundur hingga waktu yang tidak dapat ditentukan oleh panitia</t>
  </si>
  <si>
    <t xml:space="preserve">CM59697-1</t>
  </si>
  <si>
    <t xml:space="preserve">Medco E&amp;P Natuna Ltd.</t>
  </si>
  <si>
    <t xml:space="preserve">CALL OFF ORDER TRI ETHYLENE GLYCOL (TEG)</t>
  </si>
  <si>
    <t xml:space="preserve">Klarifikasi Teknis 12 Feb 2025</t>
  </si>
  <si>
    <t xml:space="preserve">GA04025007A</t>
  </si>
  <si>
    <t xml:space="preserve">Pengambilan sample crude 11 Februari 2025</t>
  </si>
  <si>
    <t xml:space="preserve">GA14045476A</t>
  </si>
  <si>
    <t xml:space="preserve">PENGADAAN CORROSION INHIBITOR UNTUK 3 (TIGA) TAHUN DENGAN SKEMA KONTRAK CALL-OFF ORDER</t>
  </si>
  <si>
    <t xml:space="preserve">Tahap pemasukan sample chemical</t>
  </si>
  <si>
    <t xml:space="preserve">D263/OM#874/QR#1398</t>
  </si>
  <si>
    <t xml:space="preserve">Oxygen Scavenger</t>
  </si>
  <si>
    <t xml:space="preserve">D263/OM#943/QR#1433</t>
  </si>
  <si>
    <t xml:space="preserve">Microbiocide</t>
  </si>
  <si>
    <t xml:space="preserve">4420003900</t>
  </si>
  <si>
    <t xml:space="preserve">BP Berau Ltd.</t>
  </si>
  <si>
    <t xml:space="preserve">JASA TEKNIS UJI KEBOCORAN &amp; N2 PURGING FASILITAS
PRODUKSI TANGGUH, SERTA PEMASOKAN DAN
PENGELOLAAN BAHAN KIMIA/TANGGUH PRODUCTION
FACILITY LEAK TEST &amp; N2 PURGING, AND CHEMICAL SUPPLIES
AND MANAGEMENT SERVICES</t>
  </si>
  <si>
    <t xml:space="preserve">ZKI - TRC</t>
  </si>
  <si>
    <t xml:space="preserve">- Konsorsium dengan Tracon (Tracon bagian Leak Test and LN2 Purge. Zeus bagian Chemicals Supplies and Management Service)</t>
  </si>
  <si>
    <t xml:space="preserve">NDS-10124140</t>
  </si>
  <si>
    <t xml:space="preserve">ENI Muara Bakau B.V. dan East Sepinggan Ltd.</t>
  </si>
  <si>
    <t xml:space="preserve">COMMODITY CHEMICAL SERVICES</t>
  </si>
  <si>
    <t xml:space="preserve">Tidak dapat memenuhi NPt yang dipersyaratkan sebesar 82.317.982.278 (Kita tidak memiliki pengalaman kerja/kontrak senilai / di atas 82 Milyar)</t>
  </si>
  <si>
    <t xml:space="preserve">PQ16048214A</t>
  </si>
  <si>
    <t xml:space="preserve">Pengadaan COO Chemical Production Demulsifier PT Pertamina EP Tarakan Field</t>
  </si>
  <si>
    <t xml:space="preserve">Ada 2 sub paket :
Sub paket A (Tarakan Field)
Sub paket B (Sembakung Field)
[Gabungan baris sub-paket] OE tambahan: Rp 3.770.000.000</t>
  </si>
  <si>
    <t xml:space="preserve">D263/RO#936/QR#1463</t>
  </si>
  <si>
    <t xml:space="preserve">Memundurkan diri karna nilai OE tidak sebanding dengan qty yang diminta dan biaya kirim ke Jambi</t>
  </si>
  <si>
    <t xml:space="preserve">D263/RO#942/QR#1493</t>
  </si>
  <si>
    <t xml:space="preserve">H2S Scavenger</t>
  </si>
  <si>
    <t xml:space="preserve">GX17049167A</t>
  </si>
  <si>
    <t xml:space="preserve">PENGADAAN CHELATING AGENT UNTUK SULFUR RECOVERY UNIT (SRU) DI PT PERTAMINA EP SUKOWATI FIELD</t>
  </si>
  <si>
    <t xml:space="preserve">- Pemasukan chemical lab test di tanggal 17 Juni 2025</t>
  </si>
  <si>
    <t xml:space="preserve">SA10047017C</t>
  </si>
  <si>
    <t xml:space="preserve">KONTRAK JASA TREATMENT PRODUCED FLUID MENGGUNAKAN CHEMICAL SCALE INHIBITOR DENGAN KONSEP TOTAL SOLUTION BERIKUT JASA PENUNJANG SELAMA 1095 (SERIBU SEMBILAN PULUH LIMA) HARI KALENDER DI PT. PERTAMINA EP REGIONAL 1 ZONA 4 FIELD PRABUMULIH</t>
  </si>
  <si>
    <t xml:space="preserve">SX13049111B</t>
  </si>
  <si>
    <t xml:space="preserve">PENGADAAN JASA PEMAKAIAN H2S SCAVENGER SECARA PERFORMANCE BASED DI PT PERTAMINA EP ZONA 7 TAMBUN FIELD</t>
  </si>
  <si>
    <t xml:space="preserve">SA10050767A</t>
  </si>
  <si>
    <t xml:space="preserve">JASA TREATMENT FLUIDA PRODUKSI DAN PENGINJEKSIANCHEMICAL POUR POINT DISPERSSANT (PPD) DENGAN KONSEP TOTAL SOLUTION</t>
  </si>
  <si>
    <t xml:space="preserve">SX07049252A</t>
  </si>
  <si>
    <t xml:space="preserve">JASA PERBAIKAN KUALITAS MINYAK DAN AIR MENGGUNAKAN CHEMICAL TREATMENT DI PT PERTAMINA EP ZONA 1 JAMBI FIELD</t>
  </si>
  <si>
    <t xml:space="preserve">Dari hasil pengecekan di website civd skkmigas pada tanggal 02 Juni 2025 bahwa SPDA PT ZEUS KIMIATAMA INDONESIA tidak valid, tidak memenuhi persyaratan prakualifikas</t>
  </si>
  <si>
    <t xml:space="preserve">GX13052063A</t>
  </si>
  <si>
    <t xml:space="preserve">PENGADAAN CHEMICAL UNTUK WATER TREATMENT PLANT SECARA CALL OF ORDER (COO) SELAMA 2 (DUA) TAHUN DI PT PERTAMINA EP ZONA 7</t>
  </si>
  <si>
    <t xml:space="preserve">Pemegang sahamnya tidak 100% memiliki KTP yang diterbitkan di wilayah provinsi Jawa Barat</t>
  </si>
  <si>
    <t xml:space="preserve">GX14050248A</t>
  </si>
  <si>
    <t xml:space="preserve">Pengadaan Bahan Kimia Biocide THPS</t>
  </si>
  <si>
    <t xml:space="preserve">- Pemasukan sample chemical &amp; dokumen PQ Teknis tanggal 10 Juli 2025</t>
  </si>
  <si>
    <t xml:space="preserve">GA05050337A</t>
  </si>
  <si>
    <t xml:space="preserve">Pengadaan Material Antifoam Agent Untuk COO Selama 2 (dua ) tahun di PT Pertamina EP Regional 4 Zona 13 Donggi Matindok Field</t>
  </si>
  <si>
    <t xml:space="preserve">Memundurkan diri karena harga yang ditawarkan tidak bisa mengikuti OE yang sudah ditetapkan dan akhirnya pun Tender Gagal karena tidak ada penawaran yang memenuhi persyaratan teknis dan atau harga</t>
  </si>
  <si>
    <t xml:space="preserve">GX15050217A</t>
  </si>
  <si>
    <t xml:space="preserve">Konsinyasi Corrosion Inhibitor PHSS</t>
  </si>
  <si>
    <t xml:space="preserve">Tidak lulus Test Skrining Laboratorium PHSS Badak
1. Item 1, INHIBITOR,COR,DOWNHOLE,STARHIBMO 9656
TIDAK LULUS SOLUBILITY TEST
2. Item 2, INHIBITOR,COR,FLOWLINE,STARHIB-MO
9657
TIDAK LULUS SOLUBILITY TEST &amp; COMPABILITY
TEST
3. Item 3, INHIBITOR,COR,ANTIFOULANT,STARHIBMO9658
TIDAK LULUS SOLUBILITY TEST &amp; COMPABILITY
TEST
4. Item 4, INHIBITOR,COR,WATERSLB,STARHIBMO 9677
TIDAK LULUS SOLUBILITY TEST &amp; COMPABILITY
TEST</t>
  </si>
  <si>
    <t xml:space="preserve">D263/RO#168/QR#1622</t>
  </si>
  <si>
    <t xml:space="preserve">GX19051455A</t>
  </si>
  <si>
    <t xml:space="preserve">Pengadaan Foam Concentrate 3% dan 6% di PT Pertamina EP Donggi Matindok Field Secara Call Off Order</t>
  </si>
  <si>
    <t xml:space="preserve">Memundurkan diri karena tidak memiliki barang dengan spesifikasi yang ditentukan pada tender ini</t>
  </si>
  <si>
    <t xml:space="preserve">D263/OM#1105</t>
  </si>
  <si>
    <t xml:space="preserve">Chemical Corrosion Inhibitor &amp; Oxygen Scavenger</t>
  </si>
  <si>
    <t xml:space="preserve">10195/OPS/2025</t>
  </si>
  <si>
    <t xml:space="preserve">TIS Petroleum E&amp;P Blora PTE.LTD.</t>
  </si>
  <si>
    <t xml:space="preserve">Lease Purchase H2S Scavenger Package</t>
  </si>
  <si>
    <t xml:space="preserve">Berlanjut ke 2025-2026</t>
  </si>
  <si>
    <t xml:space="preserve">NDS 10115464-R</t>
  </si>
  <si>
    <t xml:space="preserve">ENI Muara Bakau B.V.
ENI East Sepinggan Ltd.</t>
  </si>
  <si>
    <t xml:space="preserve">PROVISION OF FLUID SPECIALTY CHEMICAL TREATMENT SERVICES</t>
  </si>
  <si>
    <t xml:space="preserve">GX10052198A</t>
  </si>
  <si>
    <t xml:space="preserve">PENGADAAN MATERIAL SCALE DISPERSANT SECARA KONTRAK COO SEBANYAK 300 DRUM UNTUK TREATMENT SIMULASI RIGLESS SUMURAN SELAMA 2 TAHUN KALENDER DI РТ. PERTAMINA EP LIMAU FIELD</t>
  </si>
  <si>
    <t xml:space="preserve">Tidak memiliki sertifikat TKDN Scale Dispersant</t>
  </si>
  <si>
    <t xml:space="preserve">- Rapat penjelasan Lab Test 02 Oktober 2025</t>
  </si>
  <si>
    <t xml:space="preserve">SX10053144A</t>
  </si>
  <si>
    <t xml:space="preserve">Bukan merupakan Badan Usaha Milik Daerah atau Badan Usaha Swasta yang didirikan di Sumatra Selatan daerah operasi utama KKKS Cost Recovery dan sahamnya 100% dimiliki oleh pemerintah daerah di wilayah provinsi daerah operasi atau perseorangan Warga Negara Indonesia yang memiliki KTP yang diterbitkan di wilayah provinsi Sumatra Selatan dan akhirnya tender gagal karena tidak ada peserta yang lolos</t>
  </si>
  <si>
    <t xml:space="preserve">050-25-OPS-BSP-PQ</t>
  </si>
  <si>
    <t xml:space="preserve">PT Bumi Siak Pusako</t>
  </si>
  <si>
    <t xml:space="preserve">Prakualifikasi Jasa Pemisahan Minyak dan Air Terproduksi</t>
  </si>
  <si>
    <t xml:space="preserve">NPT yang dilampirkan tidak mencukupi NPT minimum yang dipersyaratkan</t>
  </si>
  <si>
    <t xml:space="preserve">GX16000025A</t>
  </si>
  <si>
    <t xml:space="preserve">Pengadaan Chemical Demulsifier Di Field Bunyu</t>
  </si>
  <si>
    <t xml:space="preserve">Domisili Perusahaan, tidak berada di Kalimantan Utara</t>
  </si>
  <si>
    <t xml:space="preserve">SX13054783A</t>
  </si>
  <si>
    <t xml:space="preserve">Prakualifikasi yang dimutakhirkan</t>
  </si>
  <si>
    <t xml:space="preserve">BS74854</t>
  </si>
  <si>
    <t xml:space="preserve">Medco E&amp;P Grissik Ltd.</t>
  </si>
  <si>
    <t xml:space="preserve">CHEMICAL</t>
  </si>
  <si>
    <t xml:space="preserve">Golongan Usaha yang dipersyartakan kecil, sedangkan PT Zeus golongan usaha besar (tercantum dalam SPDA)</t>
  </si>
  <si>
    <t xml:space="preserve">EPZ0-M25PQ0620A-CP4</t>
  </si>
  <si>
    <t xml:space="preserve">Pengadaan Bahan Kimia, Suku Cadang dan Peralatan Laboratorium di Lapangan Gas Unitisasi Jambaran Tiung Biru PT Pertamina EP Cepu</t>
  </si>
  <si>
    <t xml:space="preserve">Tidak memenuhi persyaratan administrasi:
1. Status Calon Peserta adalah PMA, sehingga tidak sesuai
dengan syarat PQ.</t>
  </si>
  <si>
    <t xml:space="preserve">SX10054381A</t>
  </si>
  <si>
    <t xml:space="preserve">Tidak ada peserta yang lulus evaluasi dokumen persyaratan pengambilan dokumen prakualifikasi.
Noted: Domisili yang diminta Sumatra Selatan</t>
  </si>
  <si>
    <t xml:space="preserve">SX10055022A</t>
  </si>
  <si>
    <t xml:space="preserve">Domisili yang dipersyaratkan adalah Sumatra Selatan</t>
  </si>
  <si>
    <t xml:space="preserve">GX16000027A</t>
  </si>
  <si>
    <t xml:space="preserve">Bukan domisili Kalimantan</t>
  </si>
  <si>
    <t xml:space="preserve">GX13055608A</t>
  </si>
  <si>
    <t xml:space="preserve">PENGADAAN CHEMICAL H2S SCAVENGER SECARA CALL OF ORDER (COO) SELAMA 2 TAHUN DI PT PERTAMINA EP ZONA 7</t>
  </si>
  <si>
    <t xml:space="preserve">039-BPA-D263</t>
  </si>
  <si>
    <t xml:space="preserve">GX14056497A</t>
  </si>
  <si>
    <t xml:space="preserve">042-BPA-D263</t>
  </si>
  <si>
    <t xml:space="preserve">BPA OXYGEN SCAVENGER &amp; MICROBIOCIDE FOR 2 YEARS</t>
  </si>
  <si>
    <t xml:space="preserve">Periode 2023-2024   |   sheet: 2023-2024</t>
  </si>
  <si>
    <t xml:space="preserve">EPPC-221355A-P23</t>
  </si>
  <si>
    <t xml:space="preserve">PEP Zona 9 - Sangasanga</t>
  </si>
  <si>
    <t xml:space="preserve">-</t>
  </si>
  <si>
    <t xml:space="preserve">penunjukkan pemenang</t>
  </si>
  <si>
    <t xml:space="preserve">M23PL0028A</t>
  </si>
  <si>
    <t xml:space="preserve">Pertamina Drilling Services Indonesia</t>
  </si>
  <si>
    <t xml:space="preserve">LTC Chemical Aerated</t>
  </si>
  <si>
    <t xml:space="preserve">SA14022436A</t>
  </si>
  <si>
    <t xml:space="preserve">NPU-SNB Liquid Treatment Services (Demulsifier &amp; Deoiler)</t>
  </si>
  <si>
    <t xml:space="preserve">GZ0700063A</t>
  </si>
  <si>
    <t xml:space="preserve">PEP Zona 7 - Jatibarang</t>
  </si>
  <si>
    <t xml:space="preserve">kalah harga dari DKJ</t>
  </si>
  <si>
    <t xml:space="preserve">SA17018380A</t>
  </si>
  <si>
    <t xml:space="preserve">PEP - Sukowati</t>
  </si>
  <si>
    <t xml:space="preserve">KOH 45%</t>
  </si>
  <si>
    <t xml:space="preserve">kalah harga dari C3, kesalahan surat penawaran</t>
  </si>
  <si>
    <t xml:space="preserve">GA03022207A</t>
  </si>
  <si>
    <t xml:space="preserve">kalah harga dari Beta Pramesti, kekurangan dokumen dalam MOM Prebid</t>
  </si>
  <si>
    <t xml:space="preserve">EPZ1-S22PL0007B-CP4</t>
  </si>
  <si>
    <t xml:space="preserve">PEPC - Jambaran Tiung Biru</t>
  </si>
  <si>
    <t xml:space="preserve">kesalahan pada CoA Sodium Bisulfite</t>
  </si>
  <si>
    <t xml:space="preserve">GA16017973A</t>
  </si>
  <si>
    <t xml:space="preserve">PEP Zona 10 - Tarakan</t>
  </si>
  <si>
    <t xml:space="preserve">Demulsifier, Deoiler</t>
  </si>
  <si>
    <t xml:space="preserve">tidak lolos lab test</t>
  </si>
  <si>
    <t xml:space="preserve">BID 22-0105</t>
  </si>
  <si>
    <t xml:space="preserve">Saka Indonesia Pangkah Ltd</t>
  </si>
  <si>
    <t xml:space="preserve">gagal lab test untuk PPD</t>
  </si>
  <si>
    <t xml:space="preserve">23110087-OR</t>
  </si>
  <si>
    <t xml:space="preserve">Premiere Oil Natuna Sea B.V</t>
  </si>
  <si>
    <t xml:space="preserve">Failed test report material compability test</t>
  </si>
  <si>
    <t xml:space="preserve">1500000712</t>
  </si>
  <si>
    <t xml:space="preserve">Star Energy (Kakap) Ltd</t>
  </si>
  <si>
    <t xml:space="preserve">Demulsifier &amp; Reverse Demulsifier</t>
  </si>
  <si>
    <t xml:space="preserve">tender diubah, harus melampirkan cure stetment untuk field trial</t>
  </si>
  <si>
    <t xml:space="preserve">GA16021865A</t>
  </si>
  <si>
    <t xml:space="preserve">TKDN Expired</t>
  </si>
  <si>
    <t xml:space="preserve">SA17018381A</t>
  </si>
  <si>
    <t xml:space="preserve">Iron Catalyst</t>
  </si>
  <si>
    <t xml:space="preserve">Spek pada sertifikat TKDN tidak sesuai dengan persyaratan tender</t>
  </si>
  <si>
    <t xml:space="preserve">GA13020534A</t>
  </si>
  <si>
    <t xml:space="preserve">PEP Zona 7 - Subang</t>
  </si>
  <si>
    <t xml:space="preserve">Corrosion Inhibitor</t>
  </si>
  <si>
    <t xml:space="preserve">EPPC-230417A-P23</t>
  </si>
  <si>
    <t xml:space="preserve">PEP Zona 9 - Tanjung</t>
  </si>
  <si>
    <t xml:space="preserve">CS43167</t>
  </si>
  <si>
    <t xml:space="preserve">MEDCO E&amp;P</t>
  </si>
  <si>
    <t xml:space="preserve">Jasa Demulsifier</t>
  </si>
  <si>
    <t xml:space="preserve">Tidak punya BAP untuk Tender Servis</t>
  </si>
  <si>
    <t xml:space="preserve">CM47919</t>
  </si>
  <si>
    <t xml:space="preserve">Medco E&amp;P Natuna</t>
  </si>
  <si>
    <t xml:space="preserve">Specialty Chemical</t>
  </si>
  <si>
    <t xml:space="preserve">Tidak punya TKDN Scale Remover dan PO Pembelian 100 pcs Totetank/Copy kontrak</t>
  </si>
  <si>
    <t xml:space="preserve">GA14016041A</t>
  </si>
  <si>
    <t xml:space="preserve">Antifoam AFFF 3%</t>
  </si>
  <si>
    <t xml:space="preserve">Tidak mempunyai produk yang harus disubmit dalam tender</t>
  </si>
  <si>
    <t xml:space="preserve">NDS-10112312</t>
  </si>
  <si>
    <t xml:space="preserve">ENI MUARA BAKAU B.V &amp; ENI EAST SEPINGGAN LTD</t>
  </si>
  <si>
    <t xml:space="preserve">Commodity Chemicals</t>
  </si>
  <si>
    <t xml:space="preserve">Tidak ada persiapan untuk submit sampel dan bid price</t>
  </si>
  <si>
    <t xml:space="preserve">GZ0200664A</t>
  </si>
  <si>
    <t xml:space="preserve">PHR</t>
  </si>
  <si>
    <t xml:space="preserve">Surfaktan CEOR</t>
  </si>
  <si>
    <t xml:space="preserve">KONS. IFP</t>
  </si>
  <si>
    <t xml:space="preserve">tidak lolos lab test, tahapan tender diperpanjang</t>
  </si>
  <si>
    <t xml:space="preserve">GA13021998A</t>
  </si>
  <si>
    <t xml:space="preserve">BELUM PQ</t>
  </si>
  <si>
    <t xml:space="preserve">PHE WMO</t>
  </si>
  <si>
    <t xml:space="preserve">Berlanjut ke 2024-2025</t>
  </si>
  <si>
    <t xml:space="preserve">M23PL0028B</t>
  </si>
  <si>
    <t xml:space="preserve">klarifikasi 3 November 2023</t>
  </si>
  <si>
    <t xml:space="preserve">LOST</t>
  </si>
  <si>
    <t xml:space="preserve">proses lab test di Lemigas</t>
  </si>
  <si>
    <t xml:space="preserve">SA13025018A</t>
  </si>
  <si>
    <t xml:space="preserve">PEP Zona 7 - Tambun</t>
  </si>
  <si>
    <t xml:space="preserve">H2S Scavenger - Service</t>
  </si>
  <si>
    <t xml:space="preserve">pembukaan sampul 1 terlebih dahulu,
hasil per Tgl 22/12 dinyatakan tidak lulus, sanggahan sudah disampaikan, masih menunggu feedback dr pertamina, tanggal 5/01/2024 meeting klarifikasi bersama dengan pertamina</t>
  </si>
  <si>
    <t xml:space="preserve">following PHE WMO</t>
  </si>
  <si>
    <t xml:space="preserve">1/PQ/9/2023</t>
  </si>
  <si>
    <t xml:space="preserve">Chevron Makassar Limited - ENI</t>
  </si>
  <si>
    <t xml:space="preserve">Production Chemical Services Kalimantan Field</t>
  </si>
  <si>
    <t xml:space="preserve">Dibatalkan oleh pihak panitia</t>
  </si>
  <si>
    <t xml:space="preserve">SHUH-230592A-A10</t>
  </si>
  <si>
    <t xml:space="preserve">PEP Zona 4</t>
  </si>
  <si>
    <t xml:space="preserve">Petrochina International</t>
  </si>
  <si>
    <t xml:space="preserve">Telah dilakukan openbid sampul 1
Dilakukan site visit ke pabrik jababeka pada tanggal 13 Desember 2024 sebagai evaluasi teknis</t>
  </si>
  <si>
    <t xml:space="preserve">Open-bid dilakukan oleh internal perusahaan &amp; menunggu hasil/pengumuman resmi</t>
  </si>
  <si>
    <t xml:space="preserve">Submit Form RFI dan Summary Bid Data Sheet</t>
  </si>
  <si>
    <t xml:space="preserve">Pengambilan sample crude 19 Februari 2025</t>
  </si>
  <si>
    <t xml:space="preserve">Periode 2021-2022   |   sheet: 2022-2021</t>
  </si>
  <si>
    <t xml:space="preserve">NDS-10098374</t>
  </si>
  <si>
    <t xml:space="preserve">ENI</t>
  </si>
  <si>
    <t xml:space="preserve">Lanjutan dari ALL</t>
  </si>
  <si>
    <t xml:space="preserve">komoditi chemicals</t>
  </si>
  <si>
    <t xml:space="preserve">SHUO-220224A-A17</t>
  </si>
  <si>
    <t xml:space="preserve">EP Zona 11 - Sukowati Field</t>
  </si>
  <si>
    <t xml:space="preserve">Corrosion Inhibitor, Scale Inhibitor (Jasa)</t>
  </si>
  <si>
    <t xml:space="preserve">mundur, ga ada untuk cek kinerja SI-CI</t>
  </si>
  <si>
    <t xml:space="preserve">SHUH-211862A-A10</t>
  </si>
  <si>
    <t xml:space="preserve">EP Zona 4 - Limau Field</t>
  </si>
  <si>
    <t xml:space="preserve">support Farca as existing</t>
  </si>
  <si>
    <t xml:space="preserve">SHUH-210785A-A10</t>
  </si>
  <si>
    <t xml:space="preserve">EP Zona 4 - Pendopo Field</t>
  </si>
  <si>
    <t xml:space="preserve">Demulsifier (Jasa)</t>
  </si>
  <si>
    <t xml:space="preserve">biaya pengambilan sampel, labtest, dan FT terlalu tinggi</t>
  </si>
  <si>
    <t xml:space="preserve">22120122-DS</t>
  </si>
  <si>
    <t xml:space="preserve">Premiere Oil Natuna Sea BV</t>
  </si>
  <si>
    <t xml:space="preserve">Chemical Supply and Services</t>
  </si>
  <si>
    <t xml:space="preserve">Kons ZKI-TKT</t>
  </si>
  <si>
    <t xml:space="preserve">SHUK-220248A-A13</t>
  </si>
  <si>
    <t xml:space="preserve">EP Zona 7 - Tambun Field</t>
  </si>
  <si>
    <t xml:space="preserve">H2S Scavenger Performance Based</t>
  </si>
  <si>
    <t xml:space="preserve">kumpulin sampel 18 Apr, Bayar ke Intertek 19 Apr</t>
  </si>
  <si>
    <t xml:space="preserve">EPPC-220213A-P23</t>
  </si>
  <si>
    <t xml:space="preserve">EP Zona 9 - Tanjung Field</t>
  </si>
  <si>
    <t xml:space="preserve">tidak bisa mengikuti OE</t>
  </si>
  <si>
    <t xml:space="preserve">SHUP-220382A-A19</t>
  </si>
  <si>
    <t xml:space="preserve">EP Zona 13 - Donggi Matindok Field</t>
  </si>
  <si>
    <t xml:space="preserve">Antifoam</t>
  </si>
  <si>
    <t xml:space="preserve">dukung Mits</t>
  </si>
  <si>
    <t xml:space="preserve">CM22602</t>
  </si>
  <si>
    <t xml:space="preserve">Medco E&amp;P Indonesia</t>
  </si>
  <si>
    <t xml:space="preserve">Demul, PPD, SI</t>
  </si>
  <si>
    <t xml:space="preserve">karena tidak mendapatkan formula produk</t>
  </si>
  <si>
    <t xml:space="preserve">PQM200206A-P26</t>
  </si>
  <si>
    <t xml:space="preserve">EP Zona 4 - Sukowati Field</t>
  </si>
  <si>
    <t xml:space="preserve">Iron Catalyst (Fe)</t>
  </si>
  <si>
    <t xml:space="preserve">SHUK-220039A-A13</t>
  </si>
  <si>
    <t xml:space="preserve">surat pernyataan dibuat dengan hasil crop-an</t>
  </si>
  <si>
    <t xml:space="preserve">SHUK-211229A-A13</t>
  </si>
  <si>
    <t xml:space="preserve">EP Zona 7 - Subang Field</t>
  </si>
  <si>
    <t xml:space="preserve">tidak lulus lab test di syslab</t>
  </si>
  <si>
    <t xml:space="preserve">S373200010</t>
  </si>
  <si>
    <t xml:space="preserve">PHE ONWJ</t>
  </si>
  <si>
    <t xml:space="preserve">Integrated Chemical Management Services</t>
  </si>
  <si>
    <t xml:space="preserve">dirahasiakan</t>
  </si>
  <si>
    <t xml:space="preserve">tidak lulus lab test untuk produk viscosity reducer</t>
  </si>
  <si>
    <t xml:space="preserve">SHUH-211124A-A10</t>
  </si>
  <si>
    <t xml:space="preserve">Scale Dispersant</t>
  </si>
  <si>
    <t xml:space="preserve">tidak lulus lab test intertek</t>
  </si>
  <si>
    <t xml:space="preserve">SHUH-211605A-A10</t>
  </si>
  <si>
    <t xml:space="preserve">EP Zona 4 - Prabumulih Field</t>
  </si>
  <si>
    <t xml:space="preserve">Scale Inhibitor (RETENDER)</t>
  </si>
  <si>
    <t xml:space="preserve">Field Test gagal di Field PBM untuk PRC Analisisnya</t>
  </si>
  <si>
    <t xml:space="preserve">SHUK-220080A-A13</t>
  </si>
  <si>
    <t xml:space="preserve">EP Zona 7 - Jatibarang Field</t>
  </si>
  <si>
    <t xml:space="preserve">tidak lulus lab test, chemical settling dan gelling</t>
  </si>
  <si>
    <t xml:space="preserve">SHUK-210979A-A13</t>
  </si>
  <si>
    <t xml:space="preserve">kalah harga dari Cahaya</t>
  </si>
  <si>
    <t xml:space="preserve">SHUH-211594A-A10</t>
  </si>
  <si>
    <t xml:space="preserve">EP Zona 4 - Adera Field</t>
  </si>
  <si>
    <t xml:space="preserve">kalah harga dari Cahaya, tapi yang menang LBU menang TKDN</t>
  </si>
  <si>
    <t xml:space="preserve">SHUO-211272A-A17</t>
  </si>
  <si>
    <t xml:space="preserve">kalah harga dari LBU</t>
  </si>
  <si>
    <t xml:space="preserve">SHUK-M21PL0056A-A13</t>
  </si>
  <si>
    <t xml:space="preserve">EP Zona 7</t>
  </si>
  <si>
    <t xml:space="preserve">kalah harga dari Mits Duta</t>
  </si>
  <si>
    <t xml:space="preserve">SHUN-211051A-A16</t>
  </si>
  <si>
    <t xml:space="preserve">EP Zona 10 - Sembakung Field</t>
  </si>
  <si>
    <t xml:space="preserve">SHUK-211168A-A13</t>
  </si>
  <si>
    <t xml:space="preserve">RO pertama 31 Jan 2022</t>
  </si>
  <si>
    <t xml:space="preserve">21143M/OEKA/DM/XI/2021</t>
  </si>
  <si>
    <t xml:space="preserve">PT Odira</t>
  </si>
  <si>
    <t xml:space="preserve">Menunggu Hasil PQ</t>
  </si>
  <si>
    <t xml:space="preserve">SHUH-211800A-A10</t>
  </si>
  <si>
    <t xml:space="preserve">Bahan kimia Biocide, Corrosion Inhibitor, Scale Inhibitor, Oxygen Scavenger, Water Clarifier</t>
  </si>
  <si>
    <t xml:space="preserve">SHUK-221052A-A13</t>
  </si>
  <si>
    <t xml:space="preserve">tunggu hasil lab test jatibarang</t>
  </si>
  <si>
    <t xml:space="preserve">SHUH-220324-A10</t>
  </si>
  <si>
    <t xml:space="preserve">lulus PQ, menunggu dok. bidding</t>
  </si>
  <si>
    <t xml:space="preserve">GZ0800142C-DSTNM</t>
  </si>
  <si>
    <t xml:space="preserve">EPPC-220363A-P23</t>
  </si>
  <si>
    <t xml:space="preserve">PPD, Demulsifier, Deoiler</t>
  </si>
  <si>
    <t xml:space="preserve">SHUN-220426A-A16</t>
  </si>
  <si>
    <t xml:space="preserve">EP Zona 10</t>
  </si>
  <si>
    <t xml:space="preserve">sampel cap pos dikirimnya</t>
  </si>
  <si>
    <t xml:space="preserve">Periode 2020-2021   |   sheet: ALL</t>
  </si>
  <si>
    <t xml:space="preserve">PQPS000589-TAO</t>
  </si>
  <si>
    <t xml:space="preserve">Drilling Waste Management Services</t>
  </si>
  <si>
    <t xml:space="preserve">TKT</t>
  </si>
  <si>
    <t xml:space="preserve">BATAL/BELUM ADA KEJELASAN HASIL PQ DARI TAHUN 2020</t>
  </si>
  <si>
    <t xml:space="preserve">EPPA-201061A-P23</t>
  </si>
  <si>
    <t xml:space="preserve">EP 5</t>
  </si>
  <si>
    <t xml:space="preserve">RO Package</t>
  </si>
  <si>
    <t xml:space="preserve">EP 4 - Sukowati Field</t>
  </si>
  <si>
    <t xml:space="preserve">Berlanjut ke 2022-2021</t>
  </si>
  <si>
    <t xml:space="preserve">PR 7300002086</t>
  </si>
  <si>
    <t xml:space="preserve">TPPI</t>
  </si>
  <si>
    <t xml:space="preserve">SPARING</t>
  </si>
  <si>
    <t xml:space="preserve">SHUK-211195A-A13</t>
  </si>
  <si>
    <t xml:space="preserve">Zona 7 - Balongan</t>
  </si>
  <si>
    <t xml:space="preserve">DUKUNGAN OPERASI IPAL</t>
  </si>
  <si>
    <t xml:space="preserve">EP01-202120-P11</t>
  </si>
  <si>
    <t xml:space="preserve">EP 5 - Tarakan Field</t>
  </si>
  <si>
    <t xml:space="preserve">WTP Waterflood SBK Tarakan Field</t>
  </si>
  <si>
    <t xml:space="preserve">perubahan RKS</t>
  </si>
  <si>
    <t xml:space="preserve">EPPA-210855A-P23</t>
  </si>
  <si>
    <t xml:space="preserve">EP 5 - Samboja Field</t>
  </si>
  <si>
    <t xml:space="preserve">FASILITAS WATER TREATMENT</t>
  </si>
  <si>
    <t xml:space="preserve">menunggu site visit</t>
  </si>
  <si>
    <t xml:space="preserve">TBS. 001/004/SR/EPT-WTIP/II/2021</t>
  </si>
  <si>
    <t xml:space="preserve">KSO EP-Techwin</t>
  </si>
  <si>
    <t xml:space="preserve">WTIP WATERFLOODING</t>
  </si>
  <si>
    <t xml:space="preserve">EPMS-2102-B0A-P1H</t>
  </si>
  <si>
    <t xml:space="preserve">EP 3 - Subang Field</t>
  </si>
  <si>
    <t xml:space="preserve">PENYEDIAAN AIR BERSIH UNTUK KEBUTUHAN OPERASIONAL SUMUR</t>
  </si>
  <si>
    <t xml:space="preserve">Kons POCS-TKT</t>
  </si>
  <si>
    <t xml:space="preserve">EPP4-202190A-P3D</t>
  </si>
  <si>
    <t xml:space="preserve">PEP Tanjung Field</t>
  </si>
  <si>
    <t xml:space="preserve">Biocide</t>
  </si>
  <si>
    <t xml:space="preserve">KALAH HARGA dari Sasfindo</t>
  </si>
  <si>
    <t xml:space="preserve">PPD, Demul, Deoiler</t>
  </si>
  <si>
    <t xml:space="preserve">KALAH HARGA dari EON</t>
  </si>
  <si>
    <t xml:space="preserve">093</t>
  </si>
  <si>
    <t xml:space="preserve">PETRONAS Ketapang II LTD</t>
  </si>
  <si>
    <t xml:space="preserve">Integrated Chemical Supp &amp; Service</t>
  </si>
  <si>
    <t xml:space="preserve">KALAH HARGA dari LBU</t>
  </si>
  <si>
    <t xml:space="preserve">EPM6-210284A-P28</t>
  </si>
  <si>
    <t xml:space="preserve">EP 3 - Jatibarang Field</t>
  </si>
  <si>
    <t xml:space="preserve">SPARING (Retender)</t>
  </si>
  <si>
    <t xml:space="preserve">LOSS (PERLU DICEK)</t>
  </si>
  <si>
    <t xml:space="preserve">gugur teknis, kesalahan input ijasah</t>
  </si>
  <si>
    <t xml:space="preserve">PQPS000621-TIN</t>
  </si>
  <si>
    <t xml:space="preserve">Demulsifier dan Deoiler</t>
  </si>
  <si>
    <t xml:space="preserve">KALAH HARGA dari HYDROCARBON</t>
  </si>
  <si>
    <t xml:space="preserve">SHUH-210805A-A10</t>
  </si>
  <si>
    <t xml:space="preserve">Zona 4 - Prabumulih Field</t>
  </si>
  <si>
    <t xml:space="preserve">D261/RO#18780/QR#27649</t>
  </si>
  <si>
    <t xml:space="preserve">Petrochina - Lagan</t>
  </si>
  <si>
    <t xml:space="preserve">Parafin Solvent - Pipeline</t>
  </si>
  <si>
    <t xml:space="preserve">DIATAS OE</t>
  </si>
  <si>
    <t xml:space="preserve">PQPM001111-TUW</t>
  </si>
  <si>
    <t xml:space="preserve">tidak lolos lab test, 3 kompetitor yang ikut FT (Eon, HEC, Elnusa)</t>
  </si>
  <si>
    <t xml:space="preserve">S445200070</t>
  </si>
  <si>
    <t xml:space="preserve">Chemical Supply &amp; Services</t>
  </si>
  <si>
    <t xml:space="preserve">tidak lolos lab test untuk produk Demul dan PPD, pemenang LBU</t>
  </si>
  <si>
    <t xml:space="preserve">SHUH-2109071A-A10</t>
  </si>
  <si>
    <t xml:space="preserve">tidak ada yang lulus lab test Intertek, Retender</t>
  </si>
  <si>
    <t xml:space="preserve">SHUK-211011A-A13</t>
  </si>
  <si>
    <t xml:space="preserve">Zona 7 - Subang Field</t>
  </si>
  <si>
    <t xml:space="preserve">Tidak Lolos Field Test, yang lolos hanya Farca Risa</t>
  </si>
  <si>
    <t xml:space="preserve">tidak lulus bottle test syslab</t>
  </si>
  <si>
    <t xml:space="preserve">SHUH-211511A-A10</t>
  </si>
  <si>
    <t xml:space="preserve">Zona 4 - PHR Prabumulih Field</t>
  </si>
  <si>
    <t xml:space="preserve">Produced Water Treatment</t>
  </si>
  <si>
    <t xml:space="preserve">miss surat penawaran teknis</t>
  </si>
  <si>
    <t xml:space="preserve">030093</t>
  </si>
  <si>
    <t xml:space="preserve">EMCL</t>
  </si>
  <si>
    <t xml:space="preserve">Non Hazardous Waste &amp; Sewage System</t>
  </si>
  <si>
    <t xml:space="preserve">mengundurkan diri, SOW tidak termasuk dalam lingkup servis Triton</t>
  </si>
  <si>
    <t xml:space="preserve">EPPA-202219A-P23</t>
  </si>
  <si>
    <t xml:space="preserve">PPD, Demul, Deoiler (include Jasa)</t>
  </si>
  <si>
    <t xml:space="preserve">mengundurkan diri, ketidakjelasan OE dan scoring untuk produk demul dan deoiler</t>
  </si>
  <si>
    <t xml:space="preserve">EP 1 - Jambi Field</t>
  </si>
  <si>
    <t xml:space="preserve">Bottle Test &amp; Field Test Chemical Treatment (Demulsifier, Deoiler, Scale Inhibitor)</t>
  </si>
  <si>
    <t xml:space="preserve">mengundurkan diri, karena free of charge untuk field trial</t>
  </si>
  <si>
    <t xml:space="preserve">S5B1200170</t>
  </si>
  <si>
    <t xml:space="preserve">PHE SIAK</t>
  </si>
  <si>
    <t xml:space="preserve">Jasa Perlakuan Minyak dan Air</t>
  </si>
  <si>
    <t xml:space="preserve">mundur karena field trial FOC</t>
  </si>
  <si>
    <t xml:space="preserve">BID 21-0057</t>
  </si>
  <si>
    <t xml:space="preserve">Saka</t>
  </si>
  <si>
    <t xml:space="preserve">WWTP</t>
  </si>
  <si>
    <t xml:space="preserve">tidak memenuhi persyaratan teknis (alat yang digunakan offshore)</t>
  </si>
  <si>
    <t xml:space="preserve">SHUG-211303A-A07</t>
  </si>
  <si>
    <t xml:space="preserve">Zona 1 - Rantau Field</t>
  </si>
  <si>
    <t xml:space="preserve">mengundurkan diri</t>
  </si>
  <si>
    <t xml:space="preserve">EP01-201787A-P11</t>
  </si>
  <si>
    <t xml:space="preserve">EP 1 - Rantau Field</t>
  </si>
  <si>
    <t xml:space="preserve">WTP KSB Field Rantau (Retender)</t>
  </si>
  <si>
    <t xml:space="preserve">RETENDER</t>
  </si>
  <si>
    <t xml:space="preserve">EPM5-210059A-P27</t>
  </si>
  <si>
    <t xml:space="preserve">EPM6-210520A-P28</t>
  </si>
  <si>
    <t xml:space="preserve">EPKE-210302A-P3A</t>
  </si>
  <si>
    <t xml:space="preserve">EP 1 - Lirik Field</t>
  </si>
  <si>
    <t xml:space="preserve">Chemical Supply</t>
  </si>
  <si>
    <t xml:space="preserve">tidak lolos PQ bermasalah dengan penamaan yang berbeda untuk sertifikat TKDN</t>
  </si>
  <si>
    <t xml:space="preserve">EPN4-210455A-P26</t>
  </si>
  <si>
    <t xml:space="preserve">Zona 11 - Sukowati Field</t>
  </si>
  <si>
    <t xml:space="preserve">Chelating Agent</t>
  </si>
  <si>
    <t xml:space="preserve">tidak lolos PQ karena tidak memiliki TKDN Chelating Agent</t>
  </si>
  <si>
    <t xml:space="preserve">BID 21-0091</t>
  </si>
  <si>
    <t xml:space="preserve">EPCI For Produced Water Treatment</t>
  </si>
  <si>
    <t xml:space="preserve">tidak lolos PQ karena SIUJK tidak sesuai (kons. dnegan Profluid)</t>
  </si>
  <si>
    <t xml:space="preserve">SHUK-2107B8A-A13</t>
  </si>
  <si>
    <t xml:space="preserve">PRECOMMISIONING, COMMISIONING, START-UP IPAL MOS BALONGAN</t>
  </si>
  <si>
    <t xml:space="preserve">tidak lolos PQ, sub bidang tidak sesuai</t>
  </si>
  <si>
    <t xml:space="preserve">SHUH-210804A-A10</t>
  </si>
  <si>
    <t xml:space="preserve">email tidak masuk ukuran email terlalu besar, tetapi tidak ada penolakan dari email pertamina</t>
  </si>
  <si>
    <t xml:space="preserve">QR#300100</t>
  </si>
  <si>
    <t xml:space="preserve">Petrogas</t>
  </si>
  <si>
    <t xml:space="preserve">sudah menang, tapi DIBATALKAN karena perubahan lingkup kerja</t>
  </si>
  <si>
    <t xml:space="preserve">EPN4-210184A-P26</t>
  </si>
  <si>
    <t xml:space="preserve">PO pertama sudah keluar 21 jul</t>
  </si>
  <si>
    <t xml:space="preserve">EPPC-202200A-P23</t>
  </si>
  <si>
    <t xml:space="preserve">EP 5 - Bunyu Field</t>
  </si>
  <si>
    <t xml:space="preserve">PO pertama sudah keluar 30 ags</t>
  </si>
  <si>
    <t xml:space="preserve">CS13608</t>
  </si>
  <si>
    <t xml:space="preserve">Medco Sampang</t>
  </si>
  <si>
    <t xml:space="preserve">kontrak sudah berjalan</t>
  </si>
  <si>
    <t xml:space="preserve">EPM6-210548A-P28</t>
  </si>
  <si>
    <t xml:space="preserve">PO pertama sudah keluar 23 sep</t>
  </si>
  <si>
    <t xml:space="preserve">SHUK-210638A-A13</t>
  </si>
  <si>
    <t xml:space="preserve">PPD (Retender)</t>
  </si>
  <si>
    <t xml:space="preserve">KOM 21 September 2021</t>
  </si>
  <si>
    <t xml:space="preserve">Zona 7 - Jatibarang Field</t>
  </si>
  <si>
    <t xml:space="preserve">tunggu penunjukkan pemenang</t>
  </si>
  <si>
    <t xml:space="preserve">9-11 des field test</t>
  </si>
  <si>
    <t xml:space="preserve">SHUK-S21PL0071A-A13</t>
  </si>
  <si>
    <t xml:space="preserve">OM IPAL BALONGAN</t>
  </si>
  <si>
    <t xml:space="preserve">tunggu hasil sampul 1</t>
  </si>
  <si>
    <t xml:space="preserve">Zona 4 - Limau Field</t>
  </si>
  <si>
    <t xml:space="preserve">tunggu hasil bottle test Intertek</t>
  </si>
  <si>
    <t xml:space="preserve">Zona 4 - Adera Field</t>
  </si>
  <si>
    <t xml:space="preserve">Zona 10 - Sembakung Field</t>
  </si>
  <si>
    <t xml:space="preserve">lolos PQ, menunggu jadwal prebid</t>
  </si>
  <si>
    <t xml:space="preserve">EP01-210473A-P11</t>
  </si>
  <si>
    <t xml:space="preserve">SHUH-211402A-A10</t>
  </si>
  <si>
    <t xml:space="preserve">WTP Bentayan</t>
  </si>
  <si>
    <t xml:space="preserve">M210137/JOBT/FLD</t>
  </si>
  <si>
    <t xml:space="preserve">JOB EP-Medco Tomori</t>
  </si>
  <si>
    <t xml:space="preserve">BFW, CW, WTP CPP SENORO</t>
  </si>
  <si>
    <t xml:space="preserve">SHUK-211635A-A13</t>
  </si>
  <si>
    <t xml:space="preserve">Zona 7</t>
  </si>
  <si>
    <t xml:space="preserve">SHUN-211658A-A16</t>
  </si>
  <si>
    <t xml:space="preserve">WTP Waterflood SBK</t>
  </si>
  <si>
    <t xml:space="preserve">12/DPM/11/2021</t>
  </si>
  <si>
    <t xml:space="preserve">PHR Rumbai, Minas dan Petapahan</t>
  </si>
  <si>
    <t xml:space="preserve">WTP Rumbai, Minas dan Petapahan</t>
  </si>
  <si>
    <t xml:space="preserve">SHUH-211641A-A10</t>
  </si>
  <si>
    <t xml:space="preserve">WTP Waterflood Struktur Tanjung Miring Timur (TMT)</t>
  </si>
  <si>
    <t xml:space="preserve">SHUH-211684A-A10</t>
  </si>
  <si>
    <t xml:space="preserve">WTP Struktur Raja</t>
  </si>
  <si>
    <t xml:space="preserve">SHUH-211683A-A10</t>
  </si>
  <si>
    <t xml:space="preserve">WTP Struktur Dewa</t>
  </si>
  <si>
    <t xml:space="preserve">Odira</t>
  </si>
  <si>
    <t xml:space="preserve">21304-RFQ-0046</t>
  </si>
  <si>
    <t xml:space="preserve">Meindo</t>
  </si>
  <si>
    <t xml:space="preserve">REKAP HASIL TENDER</t>
  </si>
  <si>
    <t xml:space="preserve">Terhubung otomatis ke sheet periode. Angka ikut berubah saat data diperbarui.</t>
  </si>
  <si>
    <t xml:space="preserve">Kategori Hasil</t>
  </si>
  <si>
    <t xml:space="preserve">2025-2026</t>
  </si>
  <si>
    <t xml:space="preserve">2024-2025</t>
  </si>
  <si>
    <t xml:space="preserve">2023-2024</t>
  </si>
  <si>
    <t xml:space="preserve">2021-2022</t>
  </si>
  <si>
    <t xml:space="preserve">2020-2021</t>
  </si>
  <si>
    <t xml:space="preserve">TOTAL</t>
  </si>
  <si>
    <t xml:space="preserve">ON GOING (belum ada hasil)</t>
  </si>
  <si>
    <t xml:space="preserve">TOTAL BARIS TENDER</t>
  </si>
  <si>
    <t xml:space="preserve">Tender terputus (withdraw, canceled, retender, no info)</t>
  </si>
  <si>
    <t xml:space="preserve">Tender dikompetisikan sampai hasil</t>
  </si>
  <si>
    <t xml:space="preserve">Win rate terhadap tender dikompetisikan</t>
  </si>
  <si>
    <t xml:space="preserve">Catatan: satu tender yang berjalan lintas periode tercatat di dua sheet, sehingga TOTAL kolom paling kanan lebih besar dari jumlah tender unik. Kolom Carry-over di tiap sheet menandai baris tersebut.</t>
  </si>
  <si>
    <t xml:space="preserve">LOG PERUBAHAN &amp; CATATAN DATA</t>
  </si>
  <si>
    <t xml:space="preserve">A. Perubahan struktur (berlaku ke semua sheet periode)</t>
  </si>
  <si>
    <t xml:space="preserve">- Urutan kolom milestone disamakan di semua sheet: Regist, PQ, Technical PQ, Prebid, Second Prebid, Technical Bidding, Sampel Chemical, Bukti Pembayaran Lab, Pemasukan Dokumen, Field Test, Open Bid, First Delivery.</t>
  </si>
  <si>
    <t xml:space="preserve">- Kolom Technical Bidding hanya terpakai di sheet 2021-2022 dan 2020-2021. Kolom Technical PQ dan Second Prebid hanya terpakai di sheet setelahnya. Kolomnya tetap ada di semua sheet agar posisi kolom seragam.</t>
  </si>
  <si>
    <t xml:space="preserve">- Result dikeluarkan dari blok Status karena isinya bukan tanggal. Sekarang berdiri sendiri di kolom W.</t>
  </si>
  <si>
    <t xml:space="preserve">- Kolom Area ditambahkan ke semua sheet. Baru terisi di sheet 2025-2026, sheet lama perlu diisi manual.</t>
  </si>
  <si>
    <t xml:space="preserve">- Kolom OE dipecah dua: OE (Rp) hanya berisi angka, OE Catatan menampung teks seperti Dirahasiakan atau nilai mata uang asing.</t>
  </si>
  <si>
    <t xml:space="preserve">- Kolom Carry-over ditambahkan, menandai tender yang nomornya juga muncul di sheet periode lain.</t>
  </si>
  <si>
    <t xml:space="preserve">- Header ZKI/Konsorsium dan TKT/Konsorsium disatukan menjadi Entitas/Konsorsium.</t>
  </si>
  <si>
    <t xml:space="preserve">- Kolom Bid Bond, Performance Bond, dan Perjanjian OAS di sheet 2020-2021 dihapus karena kosong seluruhnya.</t>
  </si>
  <si>
    <t xml:space="preserve">- Penomoran kolom No diurutkan ulang 1 sampai n di tiap sheet. Sebelumnya ada nomor dobel di sheet 2025-2026 dan nomor loncat di sheet 2024-2025.</t>
  </si>
  <si>
    <t xml:space="preserve">- Coll. No. Tender yang tersimpan sebagai angka diubah menjadi teks.</t>
  </si>
  <si>
    <t xml:space="preserve">- Conditional formatting ditulis ulang dengan rumus TODAY() langsung, tidak lagi bergantung sel bantu. Aturan lama yang mengacu ke sel kosong sudah dibuang. Penanda kuning dan merah hanya muncul untuk baris yang Result-nya masih kosong.</t>
  </si>
  <si>
    <t xml:space="preserve">- Sheet Rekap dibangun ulang memakai COUNTIF dan SUMPRODUCT ke sheet periode. Angka lama yang diketik manual sudah tidak dipakai.</t>
  </si>
  <si>
    <t xml:space="preserve">- Baris ditambah filter di baris 4 dan panel dibekukan sampai kolom E.</t>
  </si>
  <si>
    <t xml:space="preserve">B. Pembakuan kosakata Result (66 baris diubah)</t>
  </si>
  <si>
    <t xml:space="preserve">Sheet</t>
  </si>
  <si>
    <t xml:space="preserve">Baris asal</t>
  </si>
  <si>
    <t xml:space="preserve">Nilai lama</t>
  </si>
  <si>
    <t xml:space="preserve">Nilai baku</t>
  </si>
  <si>
    <t xml:space="preserve">Pengadaan Chemical Demulsifier untuk Operasional P</t>
  </si>
  <si>
    <t xml:space="preserve">TIDAK ADA KABAR</t>
  </si>
  <si>
    <t xml:space="preserve">LOSS PRICE &amp; ADMINISTRATION</t>
  </si>
  <si>
    <t xml:space="preserve">NOT QUALIFIED PQ</t>
  </si>
  <si>
    <t xml:space="preserve">TENDER CANCELLED</t>
  </si>
  <si>
    <t xml:space="preserve">2022-2021</t>
  </si>
  <si>
    <t xml:space="preserve">MUNDUR</t>
  </si>
  <si>
    <t xml:space="preserve">BATAL</t>
  </si>
  <si>
    <t xml:space="preserve">FAILED ADMIN</t>
  </si>
  <si>
    <t xml:space="preserve">FAILED TEKNIS</t>
  </si>
  <si>
    <t xml:space="preserve">LOSS</t>
  </si>
  <si>
    <t xml:space="preserve">ALL</t>
  </si>
  <si>
    <t xml:space="preserve">PENYEDIAAN AIR BERSIH UNTUK KEBUTUHAN OPERASIONAL </t>
  </si>
  <si>
    <t xml:space="preserve">NO TEKNIS</t>
  </si>
  <si>
    <t xml:space="preserve">SURRENDER</t>
  </si>
  <si>
    <t xml:space="preserve">Bottle Test &amp; Field Test Chemical Treatment (Demul</t>
  </si>
  <si>
    <t xml:space="preserve">PRECOMMISIONING, COMMISIONING, START-UP IPAL MOS B</t>
  </si>
  <si>
    <t xml:space="preserve">MISS</t>
  </si>
  <si>
    <t xml:space="preserve">FAILED</t>
  </si>
  <si>
    <t xml:space="preserve">C. Catatan data yang perlu dilengkapi (53 item)</t>
  </si>
  <si>
    <t xml:space="preserve">Temuan</t>
  </si>
  <si>
    <t xml:space="preserve">Keterangan</t>
  </si>
  <si>
    <t xml:space="preserve">Ada Result tapi tanggal Regist kosong</t>
  </si>
  <si>
    <t xml:space="preserve">PEPC - Jambaran Tiung Biru - Integrated Chemical</t>
  </si>
  <si>
    <t xml:space="preserve">PHE Jambi Merang - Purchase of Specialty Chemicals</t>
  </si>
  <si>
    <t xml:space="preserve">Pertamina Hulu Kalimantan Timur (PH - Penyediaan Jasa Bahan Kimia Produksi DOBU-DOB</t>
  </si>
  <si>
    <t xml:space="preserve">Pertamina Gas - Kontrak Payung Jasa Operasional dan Pemelihar</t>
  </si>
  <si>
    <t xml:space="preserve">Petrochina International - Parafin Solvent</t>
  </si>
  <si>
    <t xml:space="preserve">Energy Equity Epic (Sengkang) Pty.  - Supply of Corrosion Inhibitor</t>
  </si>
  <si>
    <t xml:space="preserve">PT Pertamina Gas - Kontrak Payung Jasa Operasional dan Pemelihar</t>
  </si>
  <si>
    <t xml:space="preserve">Petrochina International Jabung Ltd - Parafin Solvent</t>
  </si>
  <si>
    <t xml:space="preserve">Petronas (PC Ketapang II Ltd.) - PROVISION OF INTEGRATED CHEMICALS SUPPLY &amp; TE</t>
  </si>
  <si>
    <t xml:space="preserve">PT Pertamina Hulu Energi ONWJ - Consignment Agreement for the Purchase of Che</t>
  </si>
  <si>
    <t xml:space="preserve">PT Pertamina Hulu Sanga Sanga - Konsinyasi Oil Treating PHSS</t>
  </si>
  <si>
    <t xml:space="preserve">Petrochina International Jabung Ltd - Microbiocide</t>
  </si>
  <si>
    <t xml:space="preserve">PT Pertamina EP - Pengadaan Bahan Kimia, Suku Cadang dan Perala</t>
  </si>
  <si>
    <t xml:space="preserve">PT. Prima Energi Bawean - Kebutuhan Demulsifier dan Wax Inhibitor</t>
  </si>
  <si>
    <t xml:space="preserve">Petrochina International Jabung Ltd - PARAFIN SOLVENT</t>
  </si>
  <si>
    <t xml:space="preserve">PT. Prima Energi Bawean - Provision Chemical Demulsifier and Wax Inhibi</t>
  </si>
  <si>
    <t xml:space="preserve">EP 1 - Jambi Field - Bottle Test &amp; Field Test Chemical Treatment (</t>
  </si>
  <si>
    <t xml:space="preserve">Baris sub-paket digabung ke satu baris</t>
  </si>
  <si>
    <t xml:space="preserve">OE tambahan: Rp 3.770.000.000</t>
  </si>
  <si>
    <t xml:space="preserve">Coll. No. Tender kosong</t>
  </si>
  <si>
    <t xml:space="preserve">OE bukan angka, dipindah ke kolom OE Catatan</t>
  </si>
</sst>
</file>

<file path=xl/styles.xml><?xml version="1.0" encoding="utf-8"?>
<styleSheet xmlns="http://schemas.openxmlformats.org/spreadsheetml/2006/main">
  <numFmts count="5">
    <numFmt numFmtId="164" formatCode="General"/>
    <numFmt numFmtId="165" formatCode="#,##0"/>
    <numFmt numFmtId="166" formatCode="dd\-mmm\-yy"/>
    <numFmt numFmtId="167" formatCode="General"/>
    <numFmt numFmtId="168" formatCode="0.0%"/>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808080"/>
      <name val="Arial"/>
      <family val="0"/>
      <charset val="1"/>
    </font>
    <font>
      <b val="true"/>
      <sz val="9"/>
      <color rgb="FFFFFFFF"/>
      <name val="Arial"/>
      <family val="0"/>
      <charset val="1"/>
    </font>
    <font>
      <sz val="9"/>
      <name val="Arial"/>
      <family val="0"/>
      <charset val="1"/>
    </font>
    <font>
      <b val="true"/>
      <sz val="9"/>
      <name val="Arial"/>
      <family val="0"/>
      <charset val="1"/>
    </font>
    <font>
      <i val="true"/>
      <sz val="8"/>
      <color rgb="FF808080"/>
      <name val="Arial"/>
      <family val="0"/>
      <charset val="1"/>
    </font>
    <font>
      <b val="true"/>
      <sz val="10"/>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2E5496"/>
        <bgColor rgb="FF1F3864"/>
      </patternFill>
    </fill>
    <fill>
      <patternFill patternType="solid">
        <fgColor rgb="FFF2F2F2"/>
        <bgColor rgb="FFFFFFFF"/>
      </patternFill>
    </fill>
    <fill>
      <patternFill patternType="solid">
        <fgColor rgb="FFC6E0B4"/>
        <bgColor rgb="FFBFBFBF"/>
      </patternFill>
    </fill>
    <fill>
      <patternFill patternType="solid">
        <fgColor rgb="FFFFE699"/>
        <bgColor rgb="FFFFCC99"/>
      </patternFill>
    </fill>
    <fill>
      <patternFill patternType="solid">
        <fgColor rgb="FFFF9F9F"/>
        <bgColor rgb="FFFF808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right" vertical="top" textRotation="0" wrapText="false" indent="0" shrinkToFit="false"/>
      <protection locked="true" hidden="false"/>
    </xf>
    <xf numFmtId="166" fontId="7" fillId="0"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5" fontId="7" fillId="4" borderId="1" xfId="0" applyFont="true" applyBorder="true" applyAlignment="true" applyProtection="false">
      <alignment horizontal="right" vertical="top" textRotation="0" wrapText="false" indent="0" shrinkToFit="false"/>
      <protection locked="true" hidden="false"/>
    </xf>
    <xf numFmtId="166" fontId="7" fillId="4"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top" textRotation="0" wrapText="false" indent="0" shrinkToFit="false"/>
      <protection locked="true" hidden="false"/>
    </xf>
    <xf numFmtId="167" fontId="7" fillId="4" borderId="1" xfId="0" applyFont="true" applyBorder="true" applyAlignment="true" applyProtection="false">
      <alignment horizontal="center" vertical="top"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2E5496"/>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bgColor rgb="FFFF9F9F"/>
        </patternFill>
      </fill>
    </dxf>
    <dxf>
      <fill>
        <patternFill>
          <bgColor rgb="FFFFE699"/>
        </patternFill>
      </fill>
    </dxf>
    <dxf>
      <fill>
        <patternFill>
          <bgColor rgb="FFC6E0B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F9F"/>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F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2"/>
    <col collapsed="false" customWidth="true" hidden="false" outlineLevel="0" max="4" min="4" style="0" width="30"/>
    <col collapsed="false" customWidth="true" hidden="false" outlineLevel="0" max="5" min="5" style="0" width="48"/>
    <col collapsed="false" customWidth="true" hidden="false" outlineLevel="0" max="6" min="6" style="0" width="16"/>
    <col collapsed="false" customWidth="true" hidden="false" outlineLevel="0" max="7" min="7" style="0" width="14"/>
    <col collapsed="false" customWidth="true" hidden="false" outlineLevel="0" max="8" min="8" style="0" width="18"/>
    <col collapsed="false" customWidth="true" hidden="false" outlineLevel="0" max="9" min="9" style="0" width="16"/>
    <col collapsed="false" customWidth="true" hidden="false" outlineLevel="0" max="10" min="10" style="0" width="12"/>
    <col collapsed="false" customWidth="true" hidden="false" outlineLevel="0" max="22" min="11" style="0" width="11"/>
    <col collapsed="false" customWidth="true" hidden="false" outlineLevel="0" max="23" min="23" style="0" width="26"/>
    <col collapsed="false" customWidth="true" hidden="false" outlineLevel="0" max="24" min="24" style="0" width="24"/>
    <col collapsed="false" customWidth="true" hidden="false" outlineLevel="0" max="25" min="25" style="0" width="55"/>
    <col collapsed="false" customWidth="true" hidden="false" outlineLevel="0" max="26" min="26" style="0" width="20"/>
    <col collapsed="false" customWidth="true" hidden="false" outlineLevel="0" max="27" min="27" style="0" width="30"/>
    <col collapsed="false" customWidth="true" hidden="false" outlineLevel="0" max="28" min="28" style="0" width="8"/>
    <col collapsed="false" customWidth="true" hidden="false" outlineLevel="0" max="29" min="29" style="0" width="14"/>
    <col collapsed="false" customWidth="true" hidden="false" outlineLevel="0" max="30" min="30" style="0" width="26"/>
  </cols>
  <sheetData>
    <row r="1" customFormat="false" ht="17.35" hidden="false" customHeight="false" outlineLevel="0" collapsed="false">
      <c r="A1" s="1" t="s">
        <v>0</v>
      </c>
    </row>
    <row r="2" customFormat="false" ht="15" hidden="false" customHeight="false" outlineLevel="0" collapsed="false">
      <c r="A2" s="2" t="s">
        <v>1</v>
      </c>
    </row>
    <row r="3" customFormat="false" ht="18" hidden="false" customHeight="true" outlineLevel="0" collapsed="false">
      <c r="A3" s="3"/>
      <c r="B3" s="3"/>
      <c r="C3" s="3"/>
      <c r="D3" s="3"/>
      <c r="E3" s="3"/>
      <c r="F3" s="3"/>
      <c r="G3" s="3"/>
      <c r="H3" s="3"/>
      <c r="I3" s="3"/>
      <c r="J3" s="3"/>
      <c r="K3" s="3" t="s">
        <v>2</v>
      </c>
      <c r="L3" s="3"/>
      <c r="M3" s="3"/>
      <c r="N3" s="3"/>
      <c r="O3" s="3"/>
      <c r="P3" s="3"/>
      <c r="Q3" s="3"/>
      <c r="R3" s="3"/>
      <c r="S3" s="3"/>
      <c r="T3" s="3"/>
      <c r="U3" s="3"/>
      <c r="V3" s="3"/>
      <c r="W3" s="3"/>
      <c r="X3" s="3"/>
      <c r="Y3" s="3"/>
      <c r="Z3" s="3"/>
      <c r="AA3" s="3" t="s">
        <v>3</v>
      </c>
      <c r="AB3" s="3"/>
      <c r="AC3" s="3"/>
      <c r="AD3" s="3"/>
    </row>
    <row r="4" customFormat="false" ht="45.75" hidden="false" customHeight="true" outlineLevel="0" collapsed="false">
      <c r="A4" s="4" t="s">
        <v>4</v>
      </c>
      <c r="B4" s="4" t="s">
        <v>5</v>
      </c>
      <c r="C4" s="4" t="s">
        <v>6</v>
      </c>
      <c r="D4" s="4" t="s">
        <v>7</v>
      </c>
      <c r="E4" s="4" t="s">
        <v>8</v>
      </c>
      <c r="F4" s="4" t="s">
        <v>9</v>
      </c>
      <c r="G4" s="4" t="s">
        <v>10</v>
      </c>
      <c r="H4" s="4" t="s">
        <v>11</v>
      </c>
      <c r="I4" s="4" t="s">
        <v>12</v>
      </c>
      <c r="J4" s="4" t="s">
        <v>13</v>
      </c>
      <c r="K4" s="4" t="s">
        <v>14</v>
      </c>
      <c r="L4" s="4" t="s">
        <v>15</v>
      </c>
      <c r="M4" s="4" t="s">
        <v>16</v>
      </c>
      <c r="N4" s="4" t="s">
        <v>17</v>
      </c>
      <c r="O4" s="4" t="s">
        <v>18</v>
      </c>
      <c r="P4" s="4" t="s">
        <v>19</v>
      </c>
      <c r="Q4" s="4" t="s">
        <v>20</v>
      </c>
      <c r="R4" s="4" t="s">
        <v>21</v>
      </c>
      <c r="S4" s="4" t="s">
        <v>22</v>
      </c>
      <c r="T4" s="4" t="s">
        <v>23</v>
      </c>
      <c r="U4" s="4" t="s">
        <v>24</v>
      </c>
      <c r="V4" s="4" t="s">
        <v>25</v>
      </c>
      <c r="W4" s="4" t="s">
        <v>26</v>
      </c>
      <c r="X4" s="4" t="s">
        <v>27</v>
      </c>
      <c r="Y4" s="4" t="s">
        <v>28</v>
      </c>
      <c r="Z4" s="4" t="s">
        <v>29</v>
      </c>
      <c r="AA4" s="4" t="s">
        <v>30</v>
      </c>
      <c r="AB4" s="4" t="s">
        <v>31</v>
      </c>
      <c r="AC4" s="4" t="s">
        <v>32</v>
      </c>
      <c r="AD4" s="4" t="s">
        <v>33</v>
      </c>
    </row>
    <row r="5" customFormat="false" ht="30" hidden="false" customHeight="true" outlineLevel="0" collapsed="false">
      <c r="A5" s="5" t="n">
        <v>1</v>
      </c>
      <c r="B5" s="6" t="s">
        <v>34</v>
      </c>
      <c r="C5" s="6"/>
      <c r="D5" s="6" t="s">
        <v>35</v>
      </c>
      <c r="E5" s="6" t="s">
        <v>36</v>
      </c>
      <c r="F5" s="6" t="s">
        <v>37</v>
      </c>
      <c r="G5" s="7"/>
      <c r="H5" s="7"/>
      <c r="I5" s="6"/>
      <c r="J5" s="7"/>
      <c r="K5" s="8" t="n">
        <v>45359</v>
      </c>
      <c r="L5" s="8" t="n">
        <v>45365</v>
      </c>
      <c r="M5" s="8"/>
      <c r="N5" s="8"/>
      <c r="O5" s="8"/>
      <c r="P5" s="8"/>
      <c r="Q5" s="8"/>
      <c r="R5" s="8"/>
      <c r="S5" s="8"/>
      <c r="T5" s="8" t="n">
        <v>46054</v>
      </c>
      <c r="U5" s="8"/>
      <c r="V5" s="8"/>
      <c r="W5" s="6"/>
      <c r="X5" s="6"/>
      <c r="Y5" s="6" t="s">
        <v>38</v>
      </c>
      <c r="Z5" s="7"/>
      <c r="AA5" s="6"/>
      <c r="AB5" s="5"/>
      <c r="AC5" s="5"/>
      <c r="AD5" s="6"/>
    </row>
    <row r="6" customFormat="false" ht="30" hidden="false" customHeight="true" outlineLevel="0" collapsed="false">
      <c r="A6" s="9" t="n">
        <v>2</v>
      </c>
      <c r="B6" s="10" t="s">
        <v>34</v>
      </c>
      <c r="C6" s="10" t="s">
        <v>39</v>
      </c>
      <c r="D6" s="10" t="s">
        <v>40</v>
      </c>
      <c r="E6" s="10" t="s">
        <v>41</v>
      </c>
      <c r="F6" s="10" t="s">
        <v>37</v>
      </c>
      <c r="G6" s="11"/>
      <c r="H6" s="11"/>
      <c r="I6" s="10"/>
      <c r="J6" s="11"/>
      <c r="K6" s="12" t="n">
        <v>45846</v>
      </c>
      <c r="L6" s="12" t="n">
        <v>45855</v>
      </c>
      <c r="M6" s="12"/>
      <c r="N6" s="12" t="n">
        <v>46119</v>
      </c>
      <c r="O6" s="12"/>
      <c r="P6" s="12"/>
      <c r="Q6" s="12" t="n">
        <v>45904</v>
      </c>
      <c r="R6" s="12"/>
      <c r="S6" s="12" t="n">
        <v>46135</v>
      </c>
      <c r="T6" s="12" t="n">
        <v>46064</v>
      </c>
      <c r="U6" s="12" t="n">
        <v>46135</v>
      </c>
      <c r="V6" s="12"/>
      <c r="W6" s="10"/>
      <c r="X6" s="10" t="s">
        <v>42</v>
      </c>
      <c r="Y6" s="10" t="s">
        <v>43</v>
      </c>
      <c r="Z6" s="11"/>
      <c r="AA6" s="10"/>
      <c r="AB6" s="9"/>
      <c r="AC6" s="9"/>
      <c r="AD6" s="10"/>
    </row>
    <row r="7" customFormat="false" ht="30" hidden="false" customHeight="true" outlineLevel="0" collapsed="false">
      <c r="A7" s="5" t="n">
        <v>3</v>
      </c>
      <c r="B7" s="6" t="s">
        <v>44</v>
      </c>
      <c r="C7" s="6" t="s">
        <v>45</v>
      </c>
      <c r="D7" s="6" t="s">
        <v>46</v>
      </c>
      <c r="E7" s="6" t="s">
        <v>47</v>
      </c>
      <c r="F7" s="6" t="s">
        <v>37</v>
      </c>
      <c r="G7" s="7"/>
      <c r="H7" s="7" t="n">
        <v>176780466240</v>
      </c>
      <c r="I7" s="6"/>
      <c r="J7" s="7"/>
      <c r="K7" s="8" t="n">
        <v>45848</v>
      </c>
      <c r="L7" s="8" t="n">
        <v>45861</v>
      </c>
      <c r="M7" s="8"/>
      <c r="N7" s="8" t="n">
        <v>46071</v>
      </c>
      <c r="O7" s="8"/>
      <c r="P7" s="8"/>
      <c r="Q7" s="8" t="n">
        <v>46155</v>
      </c>
      <c r="R7" s="8"/>
      <c r="S7" s="8" t="n">
        <v>46154</v>
      </c>
      <c r="T7" s="8"/>
      <c r="U7" s="8" t="n">
        <v>46154</v>
      </c>
      <c r="V7" s="8"/>
      <c r="W7" s="6"/>
      <c r="X7" s="6" t="s">
        <v>42</v>
      </c>
      <c r="Y7" s="6" t="s">
        <v>48</v>
      </c>
      <c r="Z7" s="7"/>
      <c r="AA7" s="6"/>
      <c r="AB7" s="5"/>
      <c r="AC7" s="5"/>
      <c r="AD7" s="6"/>
    </row>
    <row r="8" customFormat="false" ht="30" hidden="false" customHeight="true" outlineLevel="0" collapsed="false">
      <c r="A8" s="9" t="n">
        <v>4</v>
      </c>
      <c r="B8" s="10" t="s">
        <v>34</v>
      </c>
      <c r="C8" s="10" t="s">
        <v>49</v>
      </c>
      <c r="D8" s="10" t="s">
        <v>50</v>
      </c>
      <c r="E8" s="10" t="s">
        <v>51</v>
      </c>
      <c r="F8" s="10" t="s">
        <v>37</v>
      </c>
      <c r="G8" s="11"/>
      <c r="H8" s="11"/>
      <c r="I8" s="10"/>
      <c r="J8" s="11"/>
      <c r="K8" s="12" t="n">
        <v>45852</v>
      </c>
      <c r="L8" s="12" t="n">
        <v>45861</v>
      </c>
      <c r="M8" s="12"/>
      <c r="N8" s="12"/>
      <c r="O8" s="12"/>
      <c r="P8" s="12"/>
      <c r="Q8" s="12" t="n">
        <v>45915</v>
      </c>
      <c r="R8" s="12"/>
      <c r="S8" s="12"/>
      <c r="T8" s="12" t="n">
        <v>46034</v>
      </c>
      <c r="U8" s="12"/>
      <c r="V8" s="12"/>
      <c r="W8" s="10" t="s">
        <v>52</v>
      </c>
      <c r="X8" s="10" t="s">
        <v>42</v>
      </c>
      <c r="Y8" s="10" t="s">
        <v>53</v>
      </c>
      <c r="Z8" s="11"/>
      <c r="AA8" s="10"/>
      <c r="AB8" s="9"/>
      <c r="AC8" s="9"/>
      <c r="AD8" s="10"/>
    </row>
    <row r="9" customFormat="false" ht="30" hidden="false" customHeight="true" outlineLevel="0" collapsed="false">
      <c r="A9" s="5" t="n">
        <v>5</v>
      </c>
      <c r="B9" s="6" t="s">
        <v>34</v>
      </c>
      <c r="C9" s="6" t="s">
        <v>54</v>
      </c>
      <c r="D9" s="6" t="s">
        <v>55</v>
      </c>
      <c r="E9" s="6" t="s">
        <v>56</v>
      </c>
      <c r="F9" s="6" t="s">
        <v>37</v>
      </c>
      <c r="G9" s="7"/>
      <c r="H9" s="7"/>
      <c r="I9" s="6"/>
      <c r="J9" s="7"/>
      <c r="K9" s="8" t="n">
        <v>45868</v>
      </c>
      <c r="L9" s="8" t="n">
        <v>45910</v>
      </c>
      <c r="M9" s="8"/>
      <c r="N9" s="8" t="n">
        <v>46122</v>
      </c>
      <c r="O9" s="8"/>
      <c r="P9" s="8"/>
      <c r="Q9" s="8" t="n">
        <v>45944</v>
      </c>
      <c r="R9" s="8" t="n">
        <v>45940</v>
      </c>
      <c r="S9" s="8" t="n">
        <v>46133</v>
      </c>
      <c r="T9" s="8" t="n">
        <v>46046</v>
      </c>
      <c r="U9" s="8" t="n">
        <v>46133</v>
      </c>
      <c r="V9" s="8"/>
      <c r="W9" s="6" t="s">
        <v>57</v>
      </c>
      <c r="X9" s="6" t="s">
        <v>42</v>
      </c>
      <c r="Y9" s="6" t="s">
        <v>58</v>
      </c>
      <c r="Z9" s="7"/>
      <c r="AA9" s="6"/>
      <c r="AB9" s="5"/>
      <c r="AC9" s="5"/>
      <c r="AD9" s="6"/>
    </row>
    <row r="10" customFormat="false" ht="30" hidden="false" customHeight="true" outlineLevel="0" collapsed="false">
      <c r="A10" s="9" t="n">
        <v>6</v>
      </c>
      <c r="B10" s="10" t="s">
        <v>34</v>
      </c>
      <c r="C10" s="10" t="s">
        <v>59</v>
      </c>
      <c r="D10" s="10" t="s">
        <v>60</v>
      </c>
      <c r="E10" s="10" t="s">
        <v>61</v>
      </c>
      <c r="F10" s="10" t="s">
        <v>37</v>
      </c>
      <c r="G10" s="11"/>
      <c r="H10" s="11"/>
      <c r="I10" s="10"/>
      <c r="J10" s="11"/>
      <c r="K10" s="12" t="n">
        <v>45880</v>
      </c>
      <c r="L10" s="12" t="n">
        <v>45883</v>
      </c>
      <c r="M10" s="12"/>
      <c r="N10" s="12"/>
      <c r="O10" s="12"/>
      <c r="P10" s="12"/>
      <c r="Q10" s="12"/>
      <c r="R10" s="12"/>
      <c r="S10" s="12"/>
      <c r="T10" s="12"/>
      <c r="U10" s="12"/>
      <c r="V10" s="12"/>
      <c r="W10" s="10"/>
      <c r="X10" s="10" t="s">
        <v>42</v>
      </c>
      <c r="Y10" s="10"/>
      <c r="Z10" s="11"/>
      <c r="AA10" s="10"/>
      <c r="AB10" s="9"/>
      <c r="AC10" s="9"/>
      <c r="AD10" s="10"/>
    </row>
    <row r="11" customFormat="false" ht="30" hidden="false" customHeight="true" outlineLevel="0" collapsed="false">
      <c r="A11" s="5" t="n">
        <v>7</v>
      </c>
      <c r="B11" s="6" t="s">
        <v>62</v>
      </c>
      <c r="C11" s="6" t="s">
        <v>63</v>
      </c>
      <c r="D11" s="6" t="s">
        <v>64</v>
      </c>
      <c r="E11" s="6" t="s">
        <v>65</v>
      </c>
      <c r="F11" s="6" t="s">
        <v>37</v>
      </c>
      <c r="G11" s="7"/>
      <c r="H11" s="7"/>
      <c r="I11" s="6"/>
      <c r="J11" s="7"/>
      <c r="K11" s="8" t="n">
        <v>45903</v>
      </c>
      <c r="L11" s="8" t="n">
        <v>45888</v>
      </c>
      <c r="M11" s="8"/>
      <c r="N11" s="8"/>
      <c r="O11" s="8"/>
      <c r="P11" s="8"/>
      <c r="Q11" s="8" t="n">
        <v>45981</v>
      </c>
      <c r="R11" s="8"/>
      <c r="S11" s="8"/>
      <c r="T11" s="8"/>
      <c r="U11" s="8"/>
      <c r="V11" s="8"/>
      <c r="W11" s="6" t="s">
        <v>66</v>
      </c>
      <c r="X11" s="6" t="s">
        <v>42</v>
      </c>
      <c r="Y11" s="6" t="s">
        <v>67</v>
      </c>
      <c r="Z11" s="7"/>
      <c r="AA11" s="6"/>
      <c r="AB11" s="5"/>
      <c r="AC11" s="5"/>
      <c r="AD11" s="6"/>
    </row>
    <row r="12" customFormat="false" ht="30" hidden="false" customHeight="true" outlineLevel="0" collapsed="false">
      <c r="A12" s="9" t="n">
        <v>8</v>
      </c>
      <c r="B12" s="10" t="s">
        <v>68</v>
      </c>
      <c r="C12" s="10" t="s">
        <v>69</v>
      </c>
      <c r="D12" s="10" t="s">
        <v>70</v>
      </c>
      <c r="E12" s="10" t="s">
        <v>71</v>
      </c>
      <c r="F12" s="10" t="s">
        <v>72</v>
      </c>
      <c r="G12" s="11"/>
      <c r="H12" s="11"/>
      <c r="I12" s="10"/>
      <c r="J12" s="11"/>
      <c r="K12" s="12" t="n">
        <v>45929</v>
      </c>
      <c r="L12" s="12" t="n">
        <v>45943</v>
      </c>
      <c r="M12" s="12"/>
      <c r="N12" s="12" t="n">
        <v>46114</v>
      </c>
      <c r="O12" s="12"/>
      <c r="P12" s="12"/>
      <c r="Q12" s="12"/>
      <c r="R12" s="12"/>
      <c r="S12" s="12" t="n">
        <v>46150</v>
      </c>
      <c r="T12" s="12"/>
      <c r="U12" s="12"/>
      <c r="V12" s="12"/>
      <c r="W12" s="10" t="s">
        <v>52</v>
      </c>
      <c r="X12" s="10" t="s">
        <v>42</v>
      </c>
      <c r="Y12" s="10" t="s">
        <v>73</v>
      </c>
      <c r="Z12" s="11"/>
      <c r="AA12" s="10"/>
      <c r="AB12" s="9"/>
      <c r="AC12" s="9"/>
      <c r="AD12" s="10"/>
    </row>
    <row r="13" customFormat="false" ht="30" hidden="false" customHeight="true" outlineLevel="0" collapsed="false">
      <c r="A13" s="5" t="n">
        <v>9</v>
      </c>
      <c r="B13" s="6" t="s">
        <v>34</v>
      </c>
      <c r="C13" s="6" t="s">
        <v>74</v>
      </c>
      <c r="D13" s="6" t="s">
        <v>55</v>
      </c>
      <c r="E13" s="6" t="s">
        <v>75</v>
      </c>
      <c r="F13" s="6" t="s">
        <v>37</v>
      </c>
      <c r="G13" s="7"/>
      <c r="H13" s="7"/>
      <c r="I13" s="6"/>
      <c r="J13" s="7"/>
      <c r="K13" s="8" t="n">
        <v>45932</v>
      </c>
      <c r="L13" s="8" t="n">
        <v>45960</v>
      </c>
      <c r="M13" s="8"/>
      <c r="N13" s="8"/>
      <c r="O13" s="8"/>
      <c r="P13" s="8"/>
      <c r="Q13" s="8" t="n">
        <v>45986</v>
      </c>
      <c r="R13" s="8" t="n">
        <v>45982</v>
      </c>
      <c r="S13" s="8"/>
      <c r="T13" s="8"/>
      <c r="U13" s="8"/>
      <c r="V13" s="8"/>
      <c r="W13" s="6" t="s">
        <v>52</v>
      </c>
      <c r="X13" s="6" t="s">
        <v>42</v>
      </c>
      <c r="Y13" s="6" t="s">
        <v>76</v>
      </c>
      <c r="Z13" s="7"/>
      <c r="AA13" s="6"/>
      <c r="AB13" s="5"/>
      <c r="AC13" s="5"/>
      <c r="AD13" s="6"/>
    </row>
    <row r="14" customFormat="false" ht="30" hidden="false" customHeight="true" outlineLevel="0" collapsed="false">
      <c r="A14" s="9" t="n">
        <v>10</v>
      </c>
      <c r="B14" s="10" t="s">
        <v>44</v>
      </c>
      <c r="C14" s="10" t="s">
        <v>77</v>
      </c>
      <c r="D14" s="10" t="s">
        <v>55</v>
      </c>
      <c r="E14" s="10" t="s">
        <v>78</v>
      </c>
      <c r="F14" s="10" t="s">
        <v>37</v>
      </c>
      <c r="G14" s="11"/>
      <c r="H14" s="11" t="n">
        <v>3400000000</v>
      </c>
      <c r="I14" s="10"/>
      <c r="J14" s="11"/>
      <c r="K14" s="12" t="n">
        <v>45933</v>
      </c>
      <c r="L14" s="12" t="n">
        <v>45954</v>
      </c>
      <c r="M14" s="12"/>
      <c r="N14" s="12" t="n">
        <v>45996</v>
      </c>
      <c r="O14" s="12" t="n">
        <v>46006</v>
      </c>
      <c r="P14" s="12"/>
      <c r="Q14" s="12"/>
      <c r="R14" s="12"/>
      <c r="S14" s="12" t="n">
        <v>46021</v>
      </c>
      <c r="T14" s="12"/>
      <c r="U14" s="12" t="n">
        <v>46021</v>
      </c>
      <c r="V14" s="12"/>
      <c r="W14" s="10" t="s">
        <v>66</v>
      </c>
      <c r="X14" s="10" t="s">
        <v>42</v>
      </c>
      <c r="Y14" s="10" t="s">
        <v>79</v>
      </c>
      <c r="Z14" s="11"/>
      <c r="AA14" s="10"/>
      <c r="AB14" s="9"/>
      <c r="AC14" s="9"/>
      <c r="AD14" s="10"/>
    </row>
    <row r="15" customFormat="false" ht="30" hidden="false" customHeight="true" outlineLevel="0" collapsed="false">
      <c r="A15" s="5" t="n">
        <v>11</v>
      </c>
      <c r="B15" s="6" t="s">
        <v>62</v>
      </c>
      <c r="C15" s="6" t="s">
        <v>80</v>
      </c>
      <c r="D15" s="6" t="s">
        <v>81</v>
      </c>
      <c r="E15" s="6" t="s">
        <v>82</v>
      </c>
      <c r="F15" s="6" t="s">
        <v>37</v>
      </c>
      <c r="G15" s="7"/>
      <c r="H15" s="7"/>
      <c r="I15" s="6"/>
      <c r="J15" s="7"/>
      <c r="K15" s="8" t="n">
        <v>45944</v>
      </c>
      <c r="L15" s="8" t="n">
        <v>45989</v>
      </c>
      <c r="M15" s="8"/>
      <c r="N15" s="8"/>
      <c r="O15" s="8"/>
      <c r="P15" s="8"/>
      <c r="Q15" s="8" t="n">
        <v>46072</v>
      </c>
      <c r="R15" s="8"/>
      <c r="S15" s="8"/>
      <c r="T15" s="8"/>
      <c r="U15" s="8"/>
      <c r="V15" s="8"/>
      <c r="W15" s="6"/>
      <c r="X15" s="6" t="s">
        <v>42</v>
      </c>
      <c r="Y15" s="6" t="s">
        <v>83</v>
      </c>
      <c r="Z15" s="7"/>
      <c r="AA15" s="6"/>
      <c r="AB15" s="5"/>
      <c r="AC15" s="5"/>
      <c r="AD15" s="6"/>
    </row>
    <row r="16" customFormat="false" ht="30" hidden="false" customHeight="true" outlineLevel="0" collapsed="false">
      <c r="A16" s="9" t="n">
        <v>12</v>
      </c>
      <c r="B16" s="10" t="s">
        <v>34</v>
      </c>
      <c r="C16" s="10" t="s">
        <v>84</v>
      </c>
      <c r="D16" s="10" t="s">
        <v>55</v>
      </c>
      <c r="E16" s="10" t="s">
        <v>85</v>
      </c>
      <c r="F16" s="10" t="s">
        <v>86</v>
      </c>
      <c r="G16" s="11"/>
      <c r="H16" s="11"/>
      <c r="I16" s="10"/>
      <c r="J16" s="11"/>
      <c r="K16" s="12" t="n">
        <v>45961</v>
      </c>
      <c r="L16" s="12" t="n">
        <v>46003</v>
      </c>
      <c r="M16" s="12"/>
      <c r="N16" s="12"/>
      <c r="O16" s="12"/>
      <c r="P16" s="12"/>
      <c r="Q16" s="12" t="n">
        <v>46049</v>
      </c>
      <c r="R16" s="12" t="n">
        <v>46044</v>
      </c>
      <c r="S16" s="12" t="n">
        <v>46094</v>
      </c>
      <c r="T16" s="12"/>
      <c r="U16" s="12" t="n">
        <v>46094</v>
      </c>
      <c r="V16" s="12"/>
      <c r="W16" s="10" t="s">
        <v>57</v>
      </c>
      <c r="X16" s="10" t="s">
        <v>42</v>
      </c>
      <c r="Y16" s="10"/>
      <c r="Z16" s="11"/>
      <c r="AA16" s="10"/>
      <c r="AB16" s="9"/>
      <c r="AC16" s="9"/>
      <c r="AD16" s="10"/>
    </row>
    <row r="17" customFormat="false" ht="30" hidden="false" customHeight="true" outlineLevel="0" collapsed="false">
      <c r="A17" s="5" t="n">
        <v>13</v>
      </c>
      <c r="B17" s="6" t="s">
        <v>44</v>
      </c>
      <c r="C17" s="6" t="s">
        <v>87</v>
      </c>
      <c r="D17" s="6" t="s">
        <v>88</v>
      </c>
      <c r="E17" s="6" t="s">
        <v>89</v>
      </c>
      <c r="F17" s="6" t="s">
        <v>37</v>
      </c>
      <c r="G17" s="7"/>
      <c r="H17" s="7"/>
      <c r="I17" s="6"/>
      <c r="J17" s="7"/>
      <c r="K17" s="8" t="n">
        <v>45989</v>
      </c>
      <c r="L17" s="8" t="n">
        <v>45995</v>
      </c>
      <c r="M17" s="8"/>
      <c r="N17" s="8" t="n">
        <v>46036</v>
      </c>
      <c r="O17" s="8"/>
      <c r="P17" s="8"/>
      <c r="Q17" s="8"/>
      <c r="R17" s="8"/>
      <c r="S17" s="8"/>
      <c r="T17" s="8"/>
      <c r="U17" s="8"/>
      <c r="V17" s="8"/>
      <c r="W17" s="6" t="s">
        <v>90</v>
      </c>
      <c r="X17" s="6" t="s">
        <v>42</v>
      </c>
      <c r="Y17" s="6" t="s">
        <v>91</v>
      </c>
      <c r="Z17" s="7"/>
      <c r="AA17" s="6"/>
      <c r="AB17" s="5"/>
      <c r="AC17" s="5"/>
      <c r="AD17" s="6"/>
    </row>
    <row r="18" customFormat="false" ht="30" hidden="false" customHeight="true" outlineLevel="0" collapsed="false">
      <c r="A18" s="9" t="n">
        <v>14</v>
      </c>
      <c r="B18" s="10" t="s">
        <v>44</v>
      </c>
      <c r="C18" s="10" t="s">
        <v>92</v>
      </c>
      <c r="D18" s="10" t="s">
        <v>55</v>
      </c>
      <c r="E18" s="10" t="s">
        <v>93</v>
      </c>
      <c r="F18" s="10" t="s">
        <v>37</v>
      </c>
      <c r="G18" s="11"/>
      <c r="H18" s="11"/>
      <c r="I18" s="10"/>
      <c r="J18" s="11"/>
      <c r="K18" s="12" t="n">
        <v>45995</v>
      </c>
      <c r="L18" s="12" t="n">
        <v>46000</v>
      </c>
      <c r="M18" s="12"/>
      <c r="N18" s="12" t="n">
        <v>46041</v>
      </c>
      <c r="O18" s="12"/>
      <c r="P18" s="12"/>
      <c r="Q18" s="12"/>
      <c r="R18" s="12"/>
      <c r="S18" s="12"/>
      <c r="T18" s="12"/>
      <c r="U18" s="12"/>
      <c r="V18" s="12"/>
      <c r="W18" s="10" t="s">
        <v>52</v>
      </c>
      <c r="X18" s="10" t="s">
        <v>42</v>
      </c>
      <c r="Y18" s="10" t="s">
        <v>76</v>
      </c>
      <c r="Z18" s="11"/>
      <c r="AA18" s="10"/>
      <c r="AB18" s="9"/>
      <c r="AC18" s="9"/>
      <c r="AD18" s="10"/>
    </row>
    <row r="19" customFormat="false" ht="30" hidden="false" customHeight="true" outlineLevel="0" collapsed="false">
      <c r="A19" s="5" t="n">
        <v>15</v>
      </c>
      <c r="B19" s="6" t="s">
        <v>34</v>
      </c>
      <c r="C19" s="6" t="s">
        <v>94</v>
      </c>
      <c r="D19" s="6" t="s">
        <v>55</v>
      </c>
      <c r="E19" s="6" t="s">
        <v>95</v>
      </c>
      <c r="F19" s="6" t="s">
        <v>86</v>
      </c>
      <c r="G19" s="7"/>
      <c r="H19" s="7"/>
      <c r="I19" s="6"/>
      <c r="J19" s="7"/>
      <c r="K19" s="8" t="n">
        <v>45996</v>
      </c>
      <c r="L19" s="8" t="n">
        <v>46044</v>
      </c>
      <c r="M19" s="8"/>
      <c r="N19" s="8" t="n">
        <v>46140</v>
      </c>
      <c r="O19" s="8"/>
      <c r="P19" s="8"/>
      <c r="Q19" s="8" t="n">
        <v>46090</v>
      </c>
      <c r="R19" s="8" t="n">
        <v>46084</v>
      </c>
      <c r="S19" s="8" t="n">
        <v>46153</v>
      </c>
      <c r="T19" s="8"/>
      <c r="U19" s="8" t="n">
        <v>46153</v>
      </c>
      <c r="V19" s="8"/>
      <c r="W19" s="6" t="s">
        <v>57</v>
      </c>
      <c r="X19" s="6" t="s">
        <v>42</v>
      </c>
      <c r="Y19" s="6" t="s">
        <v>96</v>
      </c>
      <c r="Z19" s="7"/>
      <c r="AA19" s="6"/>
      <c r="AB19" s="5"/>
      <c r="AC19" s="5"/>
      <c r="AD19" s="6"/>
    </row>
    <row r="20" customFormat="false" ht="30" hidden="false" customHeight="true" outlineLevel="0" collapsed="false">
      <c r="A20" s="9" t="n">
        <v>16</v>
      </c>
      <c r="B20" s="10" t="s">
        <v>44</v>
      </c>
      <c r="C20" s="10" t="s">
        <v>97</v>
      </c>
      <c r="D20" s="10" t="s">
        <v>55</v>
      </c>
      <c r="E20" s="10" t="s">
        <v>98</v>
      </c>
      <c r="F20" s="10" t="s">
        <v>37</v>
      </c>
      <c r="G20" s="11"/>
      <c r="H20" s="11" t="n">
        <v>5250000000</v>
      </c>
      <c r="I20" s="10"/>
      <c r="J20" s="11"/>
      <c r="K20" s="12" t="n">
        <v>46014</v>
      </c>
      <c r="L20" s="12" t="n">
        <v>46035</v>
      </c>
      <c r="M20" s="12"/>
      <c r="N20" s="12" t="n">
        <v>46084</v>
      </c>
      <c r="O20" s="12"/>
      <c r="P20" s="12"/>
      <c r="Q20" s="12" t="n">
        <v>46122</v>
      </c>
      <c r="R20" s="12" t="n">
        <v>46126</v>
      </c>
      <c r="S20" s="12" t="n">
        <v>46112</v>
      </c>
      <c r="T20" s="12"/>
      <c r="U20" s="12" t="n">
        <v>46112</v>
      </c>
      <c r="V20" s="12"/>
      <c r="W20" s="10" t="s">
        <v>99</v>
      </c>
      <c r="X20" s="10" t="s">
        <v>42</v>
      </c>
      <c r="Y20" s="10" t="s">
        <v>100</v>
      </c>
      <c r="Z20" s="11"/>
      <c r="AA20" s="10"/>
      <c r="AB20" s="9"/>
      <c r="AC20" s="9"/>
      <c r="AD20" s="10"/>
    </row>
    <row r="21" customFormat="false" ht="30" hidden="false" customHeight="true" outlineLevel="0" collapsed="false">
      <c r="A21" s="5" t="n">
        <v>17</v>
      </c>
      <c r="B21" s="6" t="s">
        <v>44</v>
      </c>
      <c r="C21" s="6" t="s">
        <v>101</v>
      </c>
      <c r="D21" s="6" t="s">
        <v>102</v>
      </c>
      <c r="E21" s="6" t="s">
        <v>103</v>
      </c>
      <c r="F21" s="6" t="s">
        <v>37</v>
      </c>
      <c r="G21" s="7"/>
      <c r="H21" s="7" t="n">
        <v>47514313751</v>
      </c>
      <c r="I21" s="6"/>
      <c r="J21" s="7"/>
      <c r="K21" s="8" t="n">
        <v>46020</v>
      </c>
      <c r="L21" s="8" t="n">
        <v>46045</v>
      </c>
      <c r="M21" s="8"/>
      <c r="N21" s="8" t="n">
        <v>46091</v>
      </c>
      <c r="O21" s="8"/>
      <c r="P21" s="8"/>
      <c r="Q21" s="8"/>
      <c r="R21" s="8"/>
      <c r="S21" s="8" t="n">
        <v>46146</v>
      </c>
      <c r="T21" s="8"/>
      <c r="U21" s="8" t="n">
        <v>46146</v>
      </c>
      <c r="V21" s="8"/>
      <c r="W21" s="6" t="s">
        <v>57</v>
      </c>
      <c r="X21" s="6" t="s">
        <v>42</v>
      </c>
      <c r="Y21" s="6" t="s">
        <v>104</v>
      </c>
      <c r="Z21" s="7"/>
      <c r="AA21" s="6"/>
      <c r="AB21" s="5"/>
      <c r="AC21" s="5"/>
      <c r="AD21" s="6"/>
    </row>
    <row r="22" customFormat="false" ht="30" hidden="false" customHeight="true" outlineLevel="0" collapsed="false">
      <c r="A22" s="9" t="n">
        <v>18</v>
      </c>
      <c r="B22" s="10" t="s">
        <v>62</v>
      </c>
      <c r="C22" s="10" t="s">
        <v>105</v>
      </c>
      <c r="D22" s="10" t="s">
        <v>64</v>
      </c>
      <c r="E22" s="10" t="s">
        <v>106</v>
      </c>
      <c r="F22" s="10" t="s">
        <v>37</v>
      </c>
      <c r="G22" s="11"/>
      <c r="H22" s="11"/>
      <c r="I22" s="10"/>
      <c r="J22" s="11"/>
      <c r="K22" s="12" t="n">
        <v>46031</v>
      </c>
      <c r="L22" s="12" t="n">
        <v>46051</v>
      </c>
      <c r="M22" s="12"/>
      <c r="N22" s="12"/>
      <c r="O22" s="12"/>
      <c r="P22" s="12"/>
      <c r="Q22" s="12" t="n">
        <v>46118</v>
      </c>
      <c r="R22" s="12"/>
      <c r="S22" s="12"/>
      <c r="T22" s="12"/>
      <c r="U22" s="12"/>
      <c r="V22" s="12"/>
      <c r="W22" s="10" t="s">
        <v>90</v>
      </c>
      <c r="X22" s="10"/>
      <c r="Y22" s="10" t="s">
        <v>107</v>
      </c>
      <c r="Z22" s="11"/>
      <c r="AA22" s="10"/>
      <c r="AB22" s="9"/>
      <c r="AC22" s="9"/>
      <c r="AD22" s="10"/>
    </row>
    <row r="23" customFormat="false" ht="30" hidden="false" customHeight="true" outlineLevel="0" collapsed="false">
      <c r="A23" s="5" t="n">
        <v>19</v>
      </c>
      <c r="B23" s="6" t="s">
        <v>44</v>
      </c>
      <c r="C23" s="6" t="s">
        <v>108</v>
      </c>
      <c r="D23" s="6" t="s">
        <v>55</v>
      </c>
      <c r="E23" s="6" t="s">
        <v>109</v>
      </c>
      <c r="F23" s="6" t="s">
        <v>37</v>
      </c>
      <c r="G23" s="7"/>
      <c r="H23" s="7"/>
      <c r="I23" s="6"/>
      <c r="J23" s="7"/>
      <c r="K23" s="8" t="n">
        <v>46042</v>
      </c>
      <c r="L23" s="8"/>
      <c r="M23" s="8"/>
      <c r="N23" s="8"/>
      <c r="O23" s="8"/>
      <c r="P23" s="8"/>
      <c r="Q23" s="8" t="n">
        <v>46052</v>
      </c>
      <c r="R23" s="8"/>
      <c r="S23" s="8"/>
      <c r="T23" s="8"/>
      <c r="U23" s="8"/>
      <c r="V23" s="8"/>
      <c r="W23" s="6" t="s">
        <v>66</v>
      </c>
      <c r="X23" s="6"/>
      <c r="Y23" s="6" t="s">
        <v>110</v>
      </c>
      <c r="Z23" s="7"/>
      <c r="AA23" s="6"/>
      <c r="AB23" s="5"/>
      <c r="AC23" s="5"/>
      <c r="AD23" s="6"/>
    </row>
    <row r="24" customFormat="false" ht="30" hidden="false" customHeight="true" outlineLevel="0" collapsed="false">
      <c r="A24" s="9" t="n">
        <v>20</v>
      </c>
      <c r="B24" s="10" t="s">
        <v>44</v>
      </c>
      <c r="C24" s="10" t="s">
        <v>111</v>
      </c>
      <c r="D24" s="10" t="s">
        <v>112</v>
      </c>
      <c r="E24" s="10" t="s">
        <v>113</v>
      </c>
      <c r="F24" s="10" t="s">
        <v>37</v>
      </c>
      <c r="G24" s="11"/>
      <c r="H24" s="11"/>
      <c r="I24" s="10"/>
      <c r="J24" s="11"/>
      <c r="K24" s="12"/>
      <c r="L24" s="12"/>
      <c r="M24" s="12"/>
      <c r="N24" s="12"/>
      <c r="O24" s="12"/>
      <c r="P24" s="12"/>
      <c r="Q24" s="12" t="n">
        <v>46065</v>
      </c>
      <c r="R24" s="12"/>
      <c r="S24" s="12"/>
      <c r="T24" s="12"/>
      <c r="U24" s="12" t="n">
        <v>46204</v>
      </c>
      <c r="V24" s="12"/>
      <c r="W24" s="10" t="s">
        <v>99</v>
      </c>
      <c r="X24" s="10"/>
      <c r="Y24" s="10"/>
      <c r="Z24" s="11"/>
      <c r="AA24" s="10"/>
      <c r="AB24" s="9"/>
      <c r="AC24" s="9"/>
      <c r="AD24" s="10"/>
    </row>
    <row r="25" customFormat="false" ht="30" hidden="false" customHeight="true" outlineLevel="0" collapsed="false">
      <c r="A25" s="5" t="n">
        <v>21</v>
      </c>
      <c r="B25" s="6" t="s">
        <v>62</v>
      </c>
      <c r="C25" s="6" t="s">
        <v>114</v>
      </c>
      <c r="D25" s="6" t="s">
        <v>55</v>
      </c>
      <c r="E25" s="6" t="s">
        <v>115</v>
      </c>
      <c r="F25" s="6" t="s">
        <v>37</v>
      </c>
      <c r="G25" s="7"/>
      <c r="H25" s="7"/>
      <c r="I25" s="6"/>
      <c r="J25" s="7"/>
      <c r="K25" s="8" t="n">
        <v>46044</v>
      </c>
      <c r="L25" s="8" t="n">
        <v>46058</v>
      </c>
      <c r="M25" s="8"/>
      <c r="N25" s="8" t="n">
        <v>46190</v>
      </c>
      <c r="O25" s="8"/>
      <c r="P25" s="8"/>
      <c r="Q25" s="8"/>
      <c r="R25" s="8"/>
      <c r="S25" s="8"/>
      <c r="T25" s="8"/>
      <c r="U25" s="8"/>
      <c r="V25" s="8"/>
      <c r="W25" s="6" t="s">
        <v>57</v>
      </c>
      <c r="X25" s="6"/>
      <c r="Y25" s="6" t="s">
        <v>116</v>
      </c>
      <c r="Z25" s="7"/>
      <c r="AA25" s="6"/>
      <c r="AB25" s="5"/>
      <c r="AC25" s="5"/>
      <c r="AD25" s="6"/>
    </row>
    <row r="26" customFormat="false" ht="30" hidden="false" customHeight="true" outlineLevel="0" collapsed="false">
      <c r="A26" s="9" t="n">
        <v>22</v>
      </c>
      <c r="B26" s="10" t="s">
        <v>62</v>
      </c>
      <c r="C26" s="10" t="s">
        <v>117</v>
      </c>
      <c r="D26" s="10" t="s">
        <v>118</v>
      </c>
      <c r="E26" s="10" t="s">
        <v>119</v>
      </c>
      <c r="F26" s="10" t="s">
        <v>37</v>
      </c>
      <c r="G26" s="11"/>
      <c r="H26" s="11"/>
      <c r="I26" s="10"/>
      <c r="J26" s="11"/>
      <c r="K26" s="12" t="n">
        <v>46059</v>
      </c>
      <c r="L26" s="12" t="n">
        <v>46090</v>
      </c>
      <c r="M26" s="12"/>
      <c r="N26" s="12"/>
      <c r="O26" s="12"/>
      <c r="P26" s="12"/>
      <c r="Q26" s="12" t="n">
        <v>46177</v>
      </c>
      <c r="R26" s="12"/>
      <c r="S26" s="12"/>
      <c r="T26" s="12"/>
      <c r="U26" s="12"/>
      <c r="V26" s="12"/>
      <c r="W26" s="10"/>
      <c r="X26" s="10"/>
      <c r="Y26" s="10"/>
      <c r="Z26" s="11"/>
      <c r="AA26" s="10"/>
      <c r="AB26" s="9"/>
      <c r="AC26" s="9"/>
      <c r="AD26" s="10"/>
    </row>
    <row r="27" customFormat="false" ht="30" hidden="false" customHeight="true" outlineLevel="0" collapsed="false">
      <c r="A27" s="5" t="n">
        <v>23</v>
      </c>
      <c r="B27" s="6" t="s">
        <v>34</v>
      </c>
      <c r="C27" s="6" t="s">
        <v>120</v>
      </c>
      <c r="D27" s="6" t="s">
        <v>35</v>
      </c>
      <c r="E27" s="6" t="s">
        <v>121</v>
      </c>
      <c r="F27" s="6" t="s">
        <v>37</v>
      </c>
      <c r="G27" s="7"/>
      <c r="H27" s="7"/>
      <c r="I27" s="6"/>
      <c r="J27" s="7"/>
      <c r="K27" s="8" t="n">
        <v>46059</v>
      </c>
      <c r="L27" s="8"/>
      <c r="M27" s="8"/>
      <c r="N27" s="8"/>
      <c r="O27" s="8"/>
      <c r="P27" s="8"/>
      <c r="Q27" s="8"/>
      <c r="R27" s="8"/>
      <c r="S27" s="8"/>
      <c r="T27" s="8"/>
      <c r="U27" s="8"/>
      <c r="V27" s="8"/>
      <c r="W27" s="6"/>
      <c r="X27" s="6"/>
      <c r="Y27" s="6"/>
      <c r="Z27" s="7"/>
      <c r="AA27" s="6"/>
      <c r="AB27" s="5"/>
      <c r="AC27" s="5"/>
      <c r="AD27" s="6"/>
    </row>
    <row r="28" customFormat="false" ht="30" hidden="false" customHeight="true" outlineLevel="0" collapsed="false">
      <c r="A28" s="9" t="n">
        <v>24</v>
      </c>
      <c r="B28" s="10" t="s">
        <v>34</v>
      </c>
      <c r="C28" s="10" t="s">
        <v>122</v>
      </c>
      <c r="D28" s="10" t="s">
        <v>123</v>
      </c>
      <c r="E28" s="10" t="s">
        <v>124</v>
      </c>
      <c r="F28" s="10" t="s">
        <v>37</v>
      </c>
      <c r="G28" s="11"/>
      <c r="H28" s="11"/>
      <c r="I28" s="10"/>
      <c r="J28" s="11"/>
      <c r="K28" s="12" t="n">
        <v>46126</v>
      </c>
      <c r="L28" s="12"/>
      <c r="M28" s="12"/>
      <c r="N28" s="12" t="n">
        <v>46136</v>
      </c>
      <c r="O28" s="12"/>
      <c r="P28" s="12"/>
      <c r="Q28" s="12"/>
      <c r="R28" s="12"/>
      <c r="S28" s="12" t="n">
        <v>46227</v>
      </c>
      <c r="T28" s="12"/>
      <c r="U28" s="12" t="n">
        <v>46227</v>
      </c>
      <c r="V28" s="12"/>
      <c r="W28" s="10" t="s">
        <v>66</v>
      </c>
      <c r="X28" s="10"/>
      <c r="Y28" s="10"/>
      <c r="Z28" s="11"/>
      <c r="AA28" s="10"/>
      <c r="AB28" s="9"/>
      <c r="AC28" s="9"/>
      <c r="AD28" s="10"/>
    </row>
    <row r="29" customFormat="false" ht="30" hidden="false" customHeight="true" outlineLevel="0" collapsed="false">
      <c r="A29" s="5" t="n">
        <v>25</v>
      </c>
      <c r="B29" s="6" t="s">
        <v>34</v>
      </c>
      <c r="C29" s="6" t="s">
        <v>125</v>
      </c>
      <c r="D29" s="6" t="s">
        <v>126</v>
      </c>
      <c r="E29" s="6" t="s">
        <v>127</v>
      </c>
      <c r="F29" s="6" t="s">
        <v>37</v>
      </c>
      <c r="G29" s="7"/>
      <c r="H29" s="7"/>
      <c r="I29" s="6"/>
      <c r="J29" s="7"/>
      <c r="K29" s="8" t="n">
        <v>46064</v>
      </c>
      <c r="L29" s="8" t="n">
        <v>46073</v>
      </c>
      <c r="M29" s="8" t="n">
        <v>46125</v>
      </c>
      <c r="N29" s="8"/>
      <c r="O29" s="8"/>
      <c r="P29" s="8"/>
      <c r="Q29" s="8" t="n">
        <v>46125</v>
      </c>
      <c r="R29" s="8"/>
      <c r="S29" s="8"/>
      <c r="T29" s="8"/>
      <c r="U29" s="8"/>
      <c r="V29" s="8"/>
      <c r="W29" s="6" t="s">
        <v>52</v>
      </c>
      <c r="X29" s="6"/>
      <c r="Y29" s="6" t="s">
        <v>128</v>
      </c>
      <c r="Z29" s="7"/>
      <c r="AA29" s="6"/>
      <c r="AB29" s="5"/>
      <c r="AC29" s="5"/>
      <c r="AD29" s="6"/>
    </row>
    <row r="30" customFormat="false" ht="30" hidden="false" customHeight="true" outlineLevel="0" collapsed="false">
      <c r="A30" s="9" t="n">
        <v>26</v>
      </c>
      <c r="B30" s="10" t="s">
        <v>34</v>
      </c>
      <c r="C30" s="10" t="s">
        <v>129</v>
      </c>
      <c r="D30" s="10" t="s">
        <v>130</v>
      </c>
      <c r="E30" s="10" t="s">
        <v>131</v>
      </c>
      <c r="F30" s="10" t="s">
        <v>37</v>
      </c>
      <c r="G30" s="11"/>
      <c r="H30" s="11"/>
      <c r="I30" s="10"/>
      <c r="J30" s="11"/>
      <c r="K30" s="12" t="n">
        <v>46085</v>
      </c>
      <c r="L30" s="12" t="n">
        <v>46094</v>
      </c>
      <c r="M30" s="12"/>
      <c r="N30" s="12"/>
      <c r="O30" s="12"/>
      <c r="P30" s="12"/>
      <c r="Q30" s="12" t="n">
        <v>46167</v>
      </c>
      <c r="R30" s="12"/>
      <c r="S30" s="12"/>
      <c r="T30" s="12"/>
      <c r="U30" s="12"/>
      <c r="V30" s="12"/>
      <c r="W30" s="10" t="s">
        <v>66</v>
      </c>
      <c r="X30" s="10"/>
      <c r="Y30" s="10" t="s">
        <v>132</v>
      </c>
      <c r="Z30" s="11"/>
      <c r="AA30" s="10"/>
      <c r="AB30" s="9"/>
      <c r="AC30" s="9"/>
      <c r="AD30" s="10"/>
    </row>
    <row r="31" customFormat="false" ht="30" hidden="false" customHeight="true" outlineLevel="0" collapsed="false">
      <c r="A31" s="5" t="n">
        <v>27</v>
      </c>
      <c r="B31" s="6" t="s">
        <v>34</v>
      </c>
      <c r="C31" s="6" t="s">
        <v>133</v>
      </c>
      <c r="D31" s="6" t="s">
        <v>35</v>
      </c>
      <c r="E31" s="6" t="s">
        <v>134</v>
      </c>
      <c r="F31" s="6" t="s">
        <v>37</v>
      </c>
      <c r="G31" s="7"/>
      <c r="H31" s="7"/>
      <c r="I31" s="6"/>
      <c r="J31" s="7"/>
      <c r="K31" s="8"/>
      <c r="L31" s="8"/>
      <c r="M31" s="8"/>
      <c r="N31" s="8"/>
      <c r="O31" s="8"/>
      <c r="P31" s="8"/>
      <c r="Q31" s="8"/>
      <c r="R31" s="8"/>
      <c r="S31" s="8" t="n">
        <v>46155</v>
      </c>
      <c r="T31" s="8"/>
      <c r="U31" s="8"/>
      <c r="V31" s="8"/>
      <c r="W31" s="6"/>
      <c r="X31" s="6"/>
      <c r="Y31" s="6" t="s">
        <v>135</v>
      </c>
      <c r="Z31" s="7"/>
      <c r="AA31" s="6"/>
      <c r="AB31" s="5"/>
      <c r="AC31" s="5"/>
      <c r="AD31" s="6"/>
    </row>
    <row r="32" customFormat="false" ht="30" hidden="false" customHeight="true" outlineLevel="0" collapsed="false">
      <c r="A32" s="9" t="n">
        <v>28</v>
      </c>
      <c r="B32" s="10" t="s">
        <v>34</v>
      </c>
      <c r="C32" s="10" t="s">
        <v>136</v>
      </c>
      <c r="D32" s="10" t="s">
        <v>35</v>
      </c>
      <c r="E32" s="10" t="s">
        <v>137</v>
      </c>
      <c r="F32" s="10" t="s">
        <v>37</v>
      </c>
      <c r="G32" s="11"/>
      <c r="H32" s="11"/>
      <c r="I32" s="10"/>
      <c r="J32" s="11"/>
      <c r="K32" s="12"/>
      <c r="L32" s="12"/>
      <c r="M32" s="12"/>
      <c r="N32" s="12"/>
      <c r="O32" s="12"/>
      <c r="P32" s="12"/>
      <c r="Q32" s="12"/>
      <c r="R32" s="12"/>
      <c r="S32" s="12" t="n">
        <v>46198</v>
      </c>
      <c r="T32" s="12"/>
      <c r="U32" s="12"/>
      <c r="V32" s="12"/>
      <c r="W32" s="10" t="s">
        <v>52</v>
      </c>
      <c r="X32" s="10"/>
      <c r="Y32" s="10" t="s">
        <v>76</v>
      </c>
      <c r="Z32" s="11"/>
      <c r="AA32" s="10"/>
      <c r="AB32" s="9"/>
      <c r="AC32" s="9"/>
      <c r="AD32" s="10"/>
    </row>
    <row r="33" customFormat="false" ht="30" hidden="false" customHeight="true" outlineLevel="0" collapsed="false">
      <c r="A33" s="5" t="n">
        <v>29</v>
      </c>
      <c r="B33" s="6" t="s">
        <v>44</v>
      </c>
      <c r="C33" s="6" t="s">
        <v>138</v>
      </c>
      <c r="D33" s="6" t="s">
        <v>139</v>
      </c>
      <c r="E33" s="6" t="s">
        <v>140</v>
      </c>
      <c r="F33" s="6" t="s">
        <v>37</v>
      </c>
      <c r="G33" s="7"/>
      <c r="H33" s="7"/>
      <c r="I33" s="6"/>
      <c r="J33" s="7"/>
      <c r="K33" s="8" t="n">
        <v>46204</v>
      </c>
      <c r="L33" s="8"/>
      <c r="M33" s="8"/>
      <c r="N33" s="8"/>
      <c r="O33" s="8"/>
      <c r="P33" s="8"/>
      <c r="Q33" s="8"/>
      <c r="R33" s="8"/>
      <c r="S33" s="8"/>
      <c r="T33" s="8"/>
      <c r="U33" s="8"/>
      <c r="V33" s="8"/>
      <c r="W33" s="6"/>
      <c r="X33" s="6"/>
      <c r="Y33" s="6"/>
      <c r="Z33" s="7"/>
      <c r="AA33" s="6"/>
      <c r="AB33" s="5"/>
      <c r="AC33" s="5"/>
      <c r="AD33" s="6"/>
    </row>
    <row r="34" customFormat="false" ht="30" hidden="false" customHeight="true" outlineLevel="0" collapsed="false">
      <c r="A34" s="9" t="n">
        <v>30</v>
      </c>
      <c r="B34" s="10" t="s">
        <v>44</v>
      </c>
      <c r="C34" s="10" t="s">
        <v>141</v>
      </c>
      <c r="D34" s="10" t="s">
        <v>55</v>
      </c>
      <c r="E34" s="10" t="s">
        <v>98</v>
      </c>
      <c r="F34" s="10" t="s">
        <v>37</v>
      </c>
      <c r="G34" s="11"/>
      <c r="H34" s="11"/>
      <c r="I34" s="10"/>
      <c r="J34" s="11"/>
      <c r="K34" s="12" t="n">
        <v>46199</v>
      </c>
      <c r="L34" s="12" t="n">
        <v>46225</v>
      </c>
      <c r="M34" s="12"/>
      <c r="N34" s="12"/>
      <c r="O34" s="12"/>
      <c r="P34" s="12"/>
      <c r="Q34" s="12"/>
      <c r="R34" s="12"/>
      <c r="S34" s="12"/>
      <c r="T34" s="12"/>
      <c r="U34" s="12"/>
      <c r="V34" s="12"/>
      <c r="W34" s="10"/>
      <c r="X34" s="10"/>
      <c r="Y34" s="10"/>
      <c r="Z34" s="11"/>
      <c r="AA34" s="10"/>
      <c r="AB34" s="9"/>
      <c r="AC34" s="9"/>
      <c r="AD34" s="10"/>
    </row>
    <row r="35" customFormat="false" ht="30" hidden="false" customHeight="true" outlineLevel="0" collapsed="false">
      <c r="A35" s="5" t="n">
        <v>31</v>
      </c>
      <c r="B35" s="6" t="s">
        <v>44</v>
      </c>
      <c r="C35" s="6" t="s">
        <v>142</v>
      </c>
      <c r="D35" s="6" t="s">
        <v>55</v>
      </c>
      <c r="E35" s="6" t="s">
        <v>143</v>
      </c>
      <c r="F35" s="6" t="s">
        <v>37</v>
      </c>
      <c r="G35" s="7"/>
      <c r="H35" s="7"/>
      <c r="I35" s="6"/>
      <c r="J35" s="7"/>
      <c r="K35" s="8" t="n">
        <v>46203</v>
      </c>
      <c r="L35" s="8" t="n">
        <v>46211</v>
      </c>
      <c r="M35" s="8"/>
      <c r="N35" s="8"/>
      <c r="O35" s="8"/>
      <c r="P35" s="8"/>
      <c r="Q35" s="8"/>
      <c r="R35" s="8"/>
      <c r="S35" s="8"/>
      <c r="T35" s="8"/>
      <c r="U35" s="8"/>
      <c r="V35" s="8"/>
      <c r="W35" s="6"/>
      <c r="X35" s="6"/>
      <c r="Y35" s="6"/>
      <c r="Z35" s="7"/>
      <c r="AA35" s="6"/>
      <c r="AB35" s="5"/>
      <c r="AC35" s="5"/>
      <c r="AD35" s="6"/>
    </row>
    <row r="36" customFormat="false" ht="30" hidden="false" customHeight="true" outlineLevel="0" collapsed="false">
      <c r="A36" s="9" t="n">
        <v>32</v>
      </c>
      <c r="B36" s="10" t="s">
        <v>34</v>
      </c>
      <c r="C36" s="10" t="s">
        <v>144</v>
      </c>
      <c r="D36" s="10" t="s">
        <v>145</v>
      </c>
      <c r="E36" s="10" t="s">
        <v>146</v>
      </c>
      <c r="F36" s="10" t="s">
        <v>37</v>
      </c>
      <c r="G36" s="11"/>
      <c r="H36" s="11"/>
      <c r="I36" s="10"/>
      <c r="J36" s="11"/>
      <c r="K36" s="12" t="n">
        <v>46199</v>
      </c>
      <c r="L36" s="12"/>
      <c r="M36" s="12"/>
      <c r="N36" s="12"/>
      <c r="O36" s="12"/>
      <c r="P36" s="12"/>
      <c r="Q36" s="12"/>
      <c r="R36" s="12"/>
      <c r="S36" s="12"/>
      <c r="T36" s="12"/>
      <c r="U36" s="12"/>
      <c r="V36" s="12"/>
      <c r="W36" s="10" t="s">
        <v>147</v>
      </c>
      <c r="X36" s="10"/>
      <c r="Y36" s="10" t="s">
        <v>148</v>
      </c>
      <c r="Z36" s="11"/>
      <c r="AA36" s="10"/>
      <c r="AB36" s="9"/>
      <c r="AC36" s="9"/>
      <c r="AD36" s="10"/>
    </row>
    <row r="37" customFormat="false" ht="30" hidden="false" customHeight="true" outlineLevel="0" collapsed="false">
      <c r="A37" s="5" t="n">
        <v>33</v>
      </c>
      <c r="B37" s="6" t="s">
        <v>44</v>
      </c>
      <c r="C37" s="6" t="s">
        <v>149</v>
      </c>
      <c r="D37" s="6" t="s">
        <v>112</v>
      </c>
      <c r="E37" s="6" t="s">
        <v>150</v>
      </c>
      <c r="F37" s="6" t="s">
        <v>37</v>
      </c>
      <c r="G37" s="7"/>
      <c r="H37" s="7" t="n">
        <v>424695600</v>
      </c>
      <c r="I37" s="6"/>
      <c r="J37" s="7"/>
      <c r="K37" s="8"/>
      <c r="L37" s="8"/>
      <c r="M37" s="8"/>
      <c r="N37" s="8" t="n">
        <v>46208</v>
      </c>
      <c r="O37" s="8"/>
      <c r="P37" s="8"/>
      <c r="Q37" s="8"/>
      <c r="R37" s="8"/>
      <c r="S37" s="8" t="n">
        <v>46212</v>
      </c>
      <c r="T37" s="8"/>
      <c r="U37" s="8" t="n">
        <v>46212</v>
      </c>
      <c r="V37" s="8"/>
      <c r="W37" s="6" t="s">
        <v>57</v>
      </c>
      <c r="X37" s="6"/>
      <c r="Y37" s="6"/>
      <c r="Z37" s="7"/>
      <c r="AA37" s="6"/>
      <c r="AB37" s="5"/>
      <c r="AC37" s="5"/>
      <c r="AD37" s="6"/>
    </row>
    <row r="38" customFormat="false" ht="30" hidden="false" customHeight="true" outlineLevel="0" collapsed="false">
      <c r="A38" s="9" t="n">
        <v>34</v>
      </c>
      <c r="B38" s="10" t="s">
        <v>34</v>
      </c>
      <c r="C38" s="10" t="s">
        <v>151</v>
      </c>
      <c r="D38" s="10" t="s">
        <v>35</v>
      </c>
      <c r="E38" s="10" t="s">
        <v>152</v>
      </c>
      <c r="F38" s="10" t="s">
        <v>37</v>
      </c>
      <c r="G38" s="11"/>
      <c r="H38" s="11" t="n">
        <v>176000000</v>
      </c>
      <c r="I38" s="10"/>
      <c r="J38" s="11"/>
      <c r="K38" s="12"/>
      <c r="L38" s="12"/>
      <c r="M38" s="12"/>
      <c r="N38" s="12"/>
      <c r="O38" s="12"/>
      <c r="P38" s="12"/>
      <c r="Q38" s="12"/>
      <c r="R38" s="12"/>
      <c r="S38" s="12" t="n">
        <v>46225</v>
      </c>
      <c r="T38" s="12"/>
      <c r="U38" s="12" t="n">
        <v>46225</v>
      </c>
      <c r="V38" s="12"/>
      <c r="W38" s="10"/>
      <c r="X38" s="10"/>
      <c r="Y38" s="10"/>
      <c r="Z38" s="11"/>
      <c r="AA38" s="10"/>
      <c r="AB38" s="9"/>
      <c r="AC38" s="9"/>
      <c r="AD38" s="10"/>
    </row>
    <row r="39" customFormat="false" ht="30" hidden="false" customHeight="true" outlineLevel="0" collapsed="false">
      <c r="A39" s="5" t="n">
        <v>35</v>
      </c>
      <c r="B39" s="6" t="s">
        <v>34</v>
      </c>
      <c r="C39" s="6" t="s">
        <v>153</v>
      </c>
      <c r="D39" s="6" t="s">
        <v>154</v>
      </c>
      <c r="E39" s="6" t="s">
        <v>155</v>
      </c>
      <c r="F39" s="6" t="s">
        <v>37</v>
      </c>
      <c r="G39" s="7"/>
      <c r="H39" s="7"/>
      <c r="I39" s="6"/>
      <c r="J39" s="7"/>
      <c r="K39" s="8" t="n">
        <v>46226</v>
      </c>
      <c r="L39" s="8" t="n">
        <v>46227</v>
      </c>
      <c r="M39" s="8"/>
      <c r="N39" s="8"/>
      <c r="O39" s="8"/>
      <c r="P39" s="8"/>
      <c r="Q39" s="8"/>
      <c r="R39" s="8"/>
      <c r="S39" s="8"/>
      <c r="T39" s="8"/>
      <c r="U39" s="8"/>
      <c r="V39" s="8"/>
      <c r="W39" s="6"/>
      <c r="X39" s="6"/>
      <c r="Y39" s="6"/>
      <c r="Z39" s="7"/>
      <c r="AA39" s="6"/>
      <c r="AB39" s="5"/>
      <c r="AC39" s="5"/>
      <c r="AD39" s="6"/>
    </row>
    <row r="40" customFormat="false" ht="30" hidden="false" customHeight="true" outlineLevel="0" collapsed="false">
      <c r="A40" s="9" t="n">
        <v>36</v>
      </c>
      <c r="B40" s="10" t="s">
        <v>34</v>
      </c>
      <c r="C40" s="10" t="s">
        <v>156</v>
      </c>
      <c r="D40" s="10" t="s">
        <v>55</v>
      </c>
      <c r="E40" s="10" t="s">
        <v>157</v>
      </c>
      <c r="F40" s="10" t="s">
        <v>37</v>
      </c>
      <c r="G40" s="11"/>
      <c r="H40" s="11"/>
      <c r="I40" s="10"/>
      <c r="J40" s="11"/>
      <c r="K40" s="12" t="n">
        <v>46240</v>
      </c>
      <c r="L40" s="12"/>
      <c r="M40" s="12"/>
      <c r="N40" s="12"/>
      <c r="O40" s="12"/>
      <c r="P40" s="12"/>
      <c r="Q40" s="12"/>
      <c r="R40" s="12"/>
      <c r="S40" s="12"/>
      <c r="T40" s="12"/>
      <c r="U40" s="12"/>
      <c r="V40" s="12"/>
      <c r="W40" s="10"/>
      <c r="X40" s="10"/>
      <c r="Y40" s="10"/>
      <c r="Z40" s="11"/>
      <c r="AA40" s="10"/>
      <c r="AB40" s="9"/>
      <c r="AC40" s="9"/>
      <c r="AD40" s="10"/>
    </row>
    <row r="41" customFormat="false" ht="30" hidden="false" customHeight="true" outlineLevel="0" collapsed="false">
      <c r="A41" s="5" t="n">
        <v>37</v>
      </c>
      <c r="B41" s="6" t="s">
        <v>62</v>
      </c>
      <c r="C41" s="6" t="s">
        <v>158</v>
      </c>
      <c r="D41" s="6" t="s">
        <v>159</v>
      </c>
      <c r="E41" s="6" t="s">
        <v>160</v>
      </c>
      <c r="F41" s="6" t="s">
        <v>37</v>
      </c>
      <c r="G41" s="7"/>
      <c r="H41" s="7"/>
      <c r="I41" s="6"/>
      <c r="J41" s="7"/>
      <c r="K41" s="8" t="n">
        <v>46238</v>
      </c>
      <c r="L41" s="8" t="n">
        <v>46252</v>
      </c>
      <c r="M41" s="8"/>
      <c r="N41" s="8"/>
      <c r="O41" s="8"/>
      <c r="P41" s="8"/>
      <c r="Q41" s="8"/>
      <c r="R41" s="8"/>
      <c r="S41" s="8"/>
      <c r="T41" s="8"/>
      <c r="U41" s="8"/>
      <c r="V41" s="8"/>
      <c r="W41" s="6"/>
      <c r="X41" s="6"/>
      <c r="Y41" s="6"/>
      <c r="Z41" s="7"/>
      <c r="AA41" s="6"/>
      <c r="AB41" s="5"/>
      <c r="AC41" s="5"/>
      <c r="AD41" s="6"/>
    </row>
    <row r="43" customFormat="false" ht="15" hidden="false" customHeight="false" outlineLevel="0" collapsed="false">
      <c r="C43" s="13" t="s">
        <v>161</v>
      </c>
    </row>
    <row r="44" customFormat="false" ht="15" hidden="false" customHeight="false" outlineLevel="0" collapsed="false">
      <c r="A44" s="14"/>
      <c r="C44" s="15" t="s">
        <v>162</v>
      </c>
    </row>
    <row r="45" customFormat="false" ht="15" hidden="false" customHeight="false" outlineLevel="0" collapsed="false">
      <c r="A45" s="16"/>
      <c r="C45" s="15" t="s">
        <v>163</v>
      </c>
    </row>
    <row r="46" customFormat="false" ht="15" hidden="false" customHeight="false" outlineLevel="0" collapsed="false">
      <c r="A46" s="17"/>
      <c r="C46" s="15" t="s">
        <v>164</v>
      </c>
    </row>
    <row r="48" customFormat="false" ht="15" hidden="false" customHeight="false" outlineLevel="0" collapsed="false">
      <c r="C48" s="2" t="s">
        <v>165</v>
      </c>
    </row>
  </sheetData>
  <autoFilter ref="A4:AD41"/>
  <mergeCells count="2">
    <mergeCell ref="K3:V3"/>
    <mergeCell ref="AA3:AC3"/>
  </mergeCells>
  <conditionalFormatting sqref="K5:V41">
    <cfRule type="expression" priority="2" aboveAverage="0" equalAverage="0" bottom="0" percent="0" rank="0" text="" dxfId="5">
      <formula>AND(K5&lt;&gt;"",$W5="",K5&gt;TODAY(),K5&lt;=TODAY()+7)</formula>
    </cfRule>
    <cfRule type="expression" priority="3" aboveAverage="0" equalAverage="0" bottom="0" percent="0" rank="0" text="" dxfId="6">
      <formula>AND(K5&lt;&gt;"",$W5="",K5&gt;TODAY()+7,K5&lt;=TODAY()+14)</formula>
    </cfRule>
    <cfRule type="expression" priority="4" aboveAverage="0" equalAverage="0" bottom="0" percent="0" rank="0" text="" dxfId="7">
      <formula>AND(K5&lt;&gt;"",K5&lt;=TODAY())</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2"/>
    <col collapsed="false" customWidth="true" hidden="false" outlineLevel="0" max="4" min="4" style="0" width="30"/>
    <col collapsed="false" customWidth="true" hidden="false" outlineLevel="0" max="5" min="5" style="0" width="48"/>
    <col collapsed="false" customWidth="true" hidden="false" outlineLevel="0" max="6" min="6" style="0" width="16"/>
    <col collapsed="false" customWidth="true" hidden="false" outlineLevel="0" max="7" min="7" style="0" width="14"/>
    <col collapsed="false" customWidth="true" hidden="false" outlineLevel="0" max="8" min="8" style="0" width="18"/>
    <col collapsed="false" customWidth="true" hidden="false" outlineLevel="0" max="9" min="9" style="0" width="16"/>
    <col collapsed="false" customWidth="true" hidden="false" outlineLevel="0" max="10" min="10" style="0" width="12"/>
    <col collapsed="false" customWidth="true" hidden="false" outlineLevel="0" max="22" min="11" style="0" width="11"/>
    <col collapsed="false" customWidth="true" hidden="false" outlineLevel="0" max="23" min="23" style="0" width="26"/>
    <col collapsed="false" customWidth="true" hidden="false" outlineLevel="0" max="24" min="24" style="0" width="24"/>
    <col collapsed="false" customWidth="true" hidden="false" outlineLevel="0" max="25" min="25" style="0" width="55"/>
    <col collapsed="false" customWidth="true" hidden="false" outlineLevel="0" max="26" min="26" style="0" width="20"/>
    <col collapsed="false" customWidth="true" hidden="false" outlineLevel="0" max="27" min="27" style="0" width="30"/>
    <col collapsed="false" customWidth="true" hidden="false" outlineLevel="0" max="28" min="28" style="0" width="8"/>
    <col collapsed="false" customWidth="true" hidden="false" outlineLevel="0" max="29" min="29" style="0" width="14"/>
    <col collapsed="false" customWidth="true" hidden="false" outlineLevel="0" max="30" min="30" style="0" width="26"/>
  </cols>
  <sheetData>
    <row r="1" customFormat="false" ht="17.35" hidden="false" customHeight="false" outlineLevel="0" collapsed="false">
      <c r="A1" s="1" t="s">
        <v>0</v>
      </c>
    </row>
    <row r="2" customFormat="false" ht="15" hidden="false" customHeight="false" outlineLevel="0" collapsed="false">
      <c r="A2" s="2" t="s">
        <v>166</v>
      </c>
    </row>
    <row r="3" customFormat="false" ht="18" hidden="false" customHeight="true" outlineLevel="0" collapsed="false">
      <c r="A3" s="3"/>
      <c r="B3" s="3"/>
      <c r="C3" s="3"/>
      <c r="D3" s="3"/>
      <c r="E3" s="3"/>
      <c r="F3" s="3"/>
      <c r="G3" s="3"/>
      <c r="H3" s="3"/>
      <c r="I3" s="3"/>
      <c r="J3" s="3"/>
      <c r="K3" s="3" t="s">
        <v>2</v>
      </c>
      <c r="L3" s="3"/>
      <c r="M3" s="3"/>
      <c r="N3" s="3"/>
      <c r="O3" s="3"/>
      <c r="P3" s="3"/>
      <c r="Q3" s="3"/>
      <c r="R3" s="3"/>
      <c r="S3" s="3"/>
      <c r="T3" s="3"/>
      <c r="U3" s="3"/>
      <c r="V3" s="3"/>
      <c r="W3" s="3"/>
      <c r="X3" s="3"/>
      <c r="Y3" s="3"/>
      <c r="Z3" s="3"/>
      <c r="AA3" s="3" t="s">
        <v>3</v>
      </c>
      <c r="AB3" s="3"/>
      <c r="AC3" s="3"/>
      <c r="AD3" s="3"/>
    </row>
    <row r="4" customFormat="false" ht="45.75" hidden="false" customHeight="true" outlineLevel="0" collapsed="false">
      <c r="A4" s="4" t="s">
        <v>4</v>
      </c>
      <c r="B4" s="4" t="s">
        <v>5</v>
      </c>
      <c r="C4" s="4" t="s">
        <v>6</v>
      </c>
      <c r="D4" s="4" t="s">
        <v>7</v>
      </c>
      <c r="E4" s="4" t="s">
        <v>8</v>
      </c>
      <c r="F4" s="4" t="s">
        <v>9</v>
      </c>
      <c r="G4" s="4" t="s">
        <v>10</v>
      </c>
      <c r="H4" s="4" t="s">
        <v>11</v>
      </c>
      <c r="I4" s="4" t="s">
        <v>12</v>
      </c>
      <c r="J4" s="4" t="s">
        <v>13</v>
      </c>
      <c r="K4" s="4" t="s">
        <v>14</v>
      </c>
      <c r="L4" s="4" t="s">
        <v>15</v>
      </c>
      <c r="M4" s="4" t="s">
        <v>16</v>
      </c>
      <c r="N4" s="4" t="s">
        <v>17</v>
      </c>
      <c r="O4" s="4" t="s">
        <v>18</v>
      </c>
      <c r="P4" s="4" t="s">
        <v>19</v>
      </c>
      <c r="Q4" s="4" t="s">
        <v>20</v>
      </c>
      <c r="R4" s="4" t="s">
        <v>21</v>
      </c>
      <c r="S4" s="4" t="s">
        <v>22</v>
      </c>
      <c r="T4" s="4" t="s">
        <v>23</v>
      </c>
      <c r="U4" s="4" t="s">
        <v>24</v>
      </c>
      <c r="V4" s="4" t="s">
        <v>25</v>
      </c>
      <c r="W4" s="4" t="s">
        <v>26</v>
      </c>
      <c r="X4" s="4" t="s">
        <v>27</v>
      </c>
      <c r="Y4" s="4" t="s">
        <v>28</v>
      </c>
      <c r="Z4" s="4" t="s">
        <v>29</v>
      </c>
      <c r="AA4" s="4" t="s">
        <v>30</v>
      </c>
      <c r="AB4" s="4" t="s">
        <v>31</v>
      </c>
      <c r="AC4" s="4" t="s">
        <v>32</v>
      </c>
      <c r="AD4" s="4" t="s">
        <v>33</v>
      </c>
    </row>
    <row r="5" customFormat="false" ht="30" hidden="false" customHeight="true" outlineLevel="0" collapsed="false">
      <c r="A5" s="5" t="n">
        <v>1</v>
      </c>
      <c r="B5" s="6"/>
      <c r="C5" s="6" t="s">
        <v>167</v>
      </c>
      <c r="D5" s="6" t="s">
        <v>168</v>
      </c>
      <c r="E5" s="6" t="s">
        <v>169</v>
      </c>
      <c r="F5" s="6" t="s">
        <v>37</v>
      </c>
      <c r="G5" s="7"/>
      <c r="H5" s="7"/>
      <c r="I5" s="6" t="s">
        <v>170</v>
      </c>
      <c r="J5" s="7"/>
      <c r="K5" s="8" t="n">
        <v>45124</v>
      </c>
      <c r="L5" s="8" t="n">
        <v>45163</v>
      </c>
      <c r="M5" s="8" t="n">
        <v>45190</v>
      </c>
      <c r="N5" s="8" t="n">
        <v>45336</v>
      </c>
      <c r="O5" s="8"/>
      <c r="P5" s="8"/>
      <c r="Q5" s="8" t="n">
        <v>45231</v>
      </c>
      <c r="R5" s="8"/>
      <c r="S5" s="8" t="n">
        <v>45351</v>
      </c>
      <c r="T5" s="8" t="n">
        <v>45281</v>
      </c>
      <c r="U5" s="8" t="n">
        <v>45351</v>
      </c>
      <c r="V5" s="8"/>
      <c r="W5" s="6" t="s">
        <v>171</v>
      </c>
      <c r="X5" s="6" t="s">
        <v>172</v>
      </c>
      <c r="Y5" s="6" t="s">
        <v>173</v>
      </c>
      <c r="Z5" s="7"/>
      <c r="AA5" s="6" t="s">
        <v>174</v>
      </c>
      <c r="AB5" s="18" t="b">
        <f aca="false">FALSE()</f>
        <v>0</v>
      </c>
      <c r="AC5" s="18" t="b">
        <f aca="false">FALSE()</f>
        <v>0</v>
      </c>
      <c r="AD5" s="6"/>
    </row>
    <row r="6" customFormat="false" ht="30" hidden="false" customHeight="true" outlineLevel="0" collapsed="false">
      <c r="A6" s="9" t="n">
        <v>2</v>
      </c>
      <c r="B6" s="10"/>
      <c r="C6" s="10" t="s">
        <v>175</v>
      </c>
      <c r="D6" s="10" t="s">
        <v>64</v>
      </c>
      <c r="E6" s="10" t="s">
        <v>176</v>
      </c>
      <c r="F6" s="10" t="s">
        <v>37</v>
      </c>
      <c r="G6" s="11"/>
      <c r="H6" s="11" t="n">
        <v>28237001760</v>
      </c>
      <c r="I6" s="10"/>
      <c r="J6" s="11"/>
      <c r="K6" s="12" t="n">
        <v>45149</v>
      </c>
      <c r="L6" s="12" t="n">
        <v>45163</v>
      </c>
      <c r="M6" s="12" t="n">
        <v>45190</v>
      </c>
      <c r="N6" s="12"/>
      <c r="O6" s="12"/>
      <c r="P6" s="12"/>
      <c r="Q6" s="12" t="n">
        <v>45204</v>
      </c>
      <c r="R6" s="12"/>
      <c r="S6" s="12" t="n">
        <v>45383</v>
      </c>
      <c r="T6" s="12"/>
      <c r="U6" s="12" t="n">
        <v>45383</v>
      </c>
      <c r="V6" s="12"/>
      <c r="W6" s="10" t="s">
        <v>57</v>
      </c>
      <c r="X6" s="10" t="s">
        <v>172</v>
      </c>
      <c r="Y6" s="10" t="s">
        <v>177</v>
      </c>
      <c r="Z6" s="11"/>
      <c r="AA6" s="10" t="s">
        <v>178</v>
      </c>
      <c r="AB6" s="19" t="b">
        <f aca="false">FALSE()</f>
        <v>0</v>
      </c>
      <c r="AC6" s="19" t="b">
        <f aca="false">FALSE()</f>
        <v>0</v>
      </c>
      <c r="AD6" s="10" t="s">
        <v>179</v>
      </c>
    </row>
    <row r="7" customFormat="false" ht="30" hidden="false" customHeight="true" outlineLevel="0" collapsed="false">
      <c r="A7" s="5" t="n">
        <v>3</v>
      </c>
      <c r="B7" s="6"/>
      <c r="C7" s="6" t="s">
        <v>180</v>
      </c>
      <c r="D7" s="6" t="s">
        <v>181</v>
      </c>
      <c r="E7" s="6" t="s">
        <v>182</v>
      </c>
      <c r="F7" s="6" t="s">
        <v>37</v>
      </c>
      <c r="G7" s="7"/>
      <c r="H7" s="7" t="n">
        <v>44580848000</v>
      </c>
      <c r="I7" s="6"/>
      <c r="J7" s="7"/>
      <c r="K7" s="8" t="n">
        <v>45173</v>
      </c>
      <c r="L7" s="8" t="n">
        <v>45187</v>
      </c>
      <c r="M7" s="8" t="n">
        <v>45204</v>
      </c>
      <c r="N7" s="8"/>
      <c r="O7" s="8"/>
      <c r="P7" s="8"/>
      <c r="Q7" s="8" t="n">
        <v>45251</v>
      </c>
      <c r="R7" s="8"/>
      <c r="S7" s="8" t="n">
        <v>45385</v>
      </c>
      <c r="T7" s="8"/>
      <c r="U7" s="8" t="n">
        <v>45385</v>
      </c>
      <c r="V7" s="8"/>
      <c r="W7" s="6" t="s">
        <v>57</v>
      </c>
      <c r="X7" s="6" t="s">
        <v>172</v>
      </c>
      <c r="Y7" s="6" t="s">
        <v>183</v>
      </c>
      <c r="Z7" s="7"/>
      <c r="AA7" s="6"/>
      <c r="AB7" s="18" t="b">
        <f aca="false">FALSE()</f>
        <v>0</v>
      </c>
      <c r="AC7" s="18" t="b">
        <f aca="false">FALSE()</f>
        <v>0</v>
      </c>
      <c r="AD7" s="6" t="s">
        <v>184</v>
      </c>
    </row>
    <row r="8" customFormat="false" ht="30" hidden="false" customHeight="true" outlineLevel="0" collapsed="false">
      <c r="A8" s="9" t="n">
        <v>4</v>
      </c>
      <c r="B8" s="10"/>
      <c r="C8" s="10" t="s">
        <v>185</v>
      </c>
      <c r="D8" s="10" t="s">
        <v>186</v>
      </c>
      <c r="E8" s="10" t="s">
        <v>187</v>
      </c>
      <c r="F8" s="10" t="s">
        <v>37</v>
      </c>
      <c r="G8" s="11"/>
      <c r="H8" s="11"/>
      <c r="I8" s="10"/>
      <c r="J8" s="11"/>
      <c r="K8" s="12" t="n">
        <v>45176</v>
      </c>
      <c r="L8" s="12" t="n">
        <v>45209</v>
      </c>
      <c r="M8" s="12"/>
      <c r="N8" s="12" t="n">
        <v>45289</v>
      </c>
      <c r="O8" s="12"/>
      <c r="P8" s="12"/>
      <c r="Q8" s="12"/>
      <c r="R8" s="12"/>
      <c r="S8" s="12" t="n">
        <v>45299</v>
      </c>
      <c r="T8" s="12"/>
      <c r="U8" s="12"/>
      <c r="V8" s="12"/>
      <c r="W8" s="10" t="s">
        <v>52</v>
      </c>
      <c r="X8" s="10" t="s">
        <v>172</v>
      </c>
      <c r="Y8" s="10"/>
      <c r="Z8" s="11"/>
      <c r="AA8" s="10"/>
      <c r="AB8" s="19" t="b">
        <f aca="false">FALSE()</f>
        <v>0</v>
      </c>
      <c r="AC8" s="19" t="b">
        <f aca="false">FALSE()</f>
        <v>0</v>
      </c>
      <c r="AD8" s="10" t="s">
        <v>188</v>
      </c>
    </row>
    <row r="9" customFormat="false" ht="30" hidden="false" customHeight="true" outlineLevel="0" collapsed="false">
      <c r="A9" s="5" t="n">
        <v>5</v>
      </c>
      <c r="B9" s="6"/>
      <c r="C9" s="6" t="s">
        <v>189</v>
      </c>
      <c r="D9" s="6" t="s">
        <v>181</v>
      </c>
      <c r="E9" s="6" t="s">
        <v>190</v>
      </c>
      <c r="F9" s="6" t="s">
        <v>37</v>
      </c>
      <c r="G9" s="7"/>
      <c r="H9" s="7" t="n">
        <v>40800000000</v>
      </c>
      <c r="I9" s="6"/>
      <c r="J9" s="7"/>
      <c r="K9" s="8" t="n">
        <v>45184</v>
      </c>
      <c r="L9" s="8" t="n">
        <v>45211</v>
      </c>
      <c r="M9" s="8" t="n">
        <v>45236</v>
      </c>
      <c r="N9" s="8"/>
      <c r="O9" s="8"/>
      <c r="P9" s="8"/>
      <c r="Q9" s="8" t="n">
        <v>45288</v>
      </c>
      <c r="R9" s="8"/>
      <c r="S9" s="8" t="n">
        <v>45506</v>
      </c>
      <c r="T9" s="8"/>
      <c r="U9" s="8" t="n">
        <v>45506</v>
      </c>
      <c r="V9" s="8"/>
      <c r="W9" s="6" t="s">
        <v>57</v>
      </c>
      <c r="X9" s="6" t="s">
        <v>172</v>
      </c>
      <c r="Y9" s="6" t="s">
        <v>191</v>
      </c>
      <c r="Z9" s="7"/>
      <c r="AA9" s="6"/>
      <c r="AB9" s="18" t="b">
        <f aca="false">FALSE()</f>
        <v>0</v>
      </c>
      <c r="AC9" s="18" t="b">
        <f aca="false">FALSE()</f>
        <v>0</v>
      </c>
      <c r="AD9" s="6" t="s">
        <v>192</v>
      </c>
    </row>
    <row r="10" customFormat="false" ht="30" hidden="false" customHeight="true" outlineLevel="0" collapsed="false">
      <c r="A10" s="9" t="n">
        <v>6</v>
      </c>
      <c r="B10" s="10"/>
      <c r="C10" s="10" t="s">
        <v>193</v>
      </c>
      <c r="D10" s="10" t="s">
        <v>194</v>
      </c>
      <c r="E10" s="10" t="s">
        <v>195</v>
      </c>
      <c r="F10" s="10" t="s">
        <v>37</v>
      </c>
      <c r="G10" s="11"/>
      <c r="H10" s="11" t="n">
        <v>4952260000</v>
      </c>
      <c r="I10" s="10"/>
      <c r="J10" s="11"/>
      <c r="K10" s="12" t="n">
        <v>45216</v>
      </c>
      <c r="L10" s="12" t="n">
        <v>45216</v>
      </c>
      <c r="M10" s="12" t="n">
        <v>45244</v>
      </c>
      <c r="N10" s="12" t="n">
        <v>45236</v>
      </c>
      <c r="O10" s="12"/>
      <c r="P10" s="12"/>
      <c r="Q10" s="12" t="n">
        <v>45264</v>
      </c>
      <c r="R10" s="12" t="n">
        <v>45264</v>
      </c>
      <c r="S10" s="12" t="n">
        <v>45244</v>
      </c>
      <c r="T10" s="12"/>
      <c r="U10" s="12" t="n">
        <v>45244</v>
      </c>
      <c r="V10" s="12"/>
      <c r="W10" s="10" t="s">
        <v>90</v>
      </c>
      <c r="X10" s="10" t="s">
        <v>172</v>
      </c>
      <c r="Y10" s="10" t="s">
        <v>196</v>
      </c>
      <c r="Z10" s="11"/>
      <c r="AA10" s="10"/>
      <c r="AB10" s="19" t="b">
        <f aca="false">FALSE()</f>
        <v>0</v>
      </c>
      <c r="AC10" s="19" t="b">
        <f aca="false">TRUE()</f>
        <v>1</v>
      </c>
      <c r="AD10" s="10" t="s">
        <v>197</v>
      </c>
    </row>
    <row r="11" customFormat="false" ht="30" hidden="false" customHeight="true" outlineLevel="0" collapsed="false">
      <c r="A11" s="5" t="n">
        <v>7</v>
      </c>
      <c r="B11" s="6"/>
      <c r="C11" s="6" t="s">
        <v>198</v>
      </c>
      <c r="D11" s="6" t="s">
        <v>199</v>
      </c>
      <c r="E11" s="6" t="s">
        <v>200</v>
      </c>
      <c r="F11" s="6" t="s">
        <v>37</v>
      </c>
      <c r="G11" s="7" t="n">
        <v>76000</v>
      </c>
      <c r="H11" s="7" t="n">
        <v>4940000000</v>
      </c>
      <c r="I11" s="6"/>
      <c r="J11" s="7" t="n">
        <v>65000</v>
      </c>
      <c r="K11" s="8" t="n">
        <v>45216</v>
      </c>
      <c r="L11" s="8" t="n">
        <v>45216</v>
      </c>
      <c r="M11" s="8" t="n">
        <v>45233</v>
      </c>
      <c r="N11" s="8" t="n">
        <v>45233</v>
      </c>
      <c r="O11" s="8"/>
      <c r="P11" s="8"/>
      <c r="Q11" s="8" t="n">
        <v>45278</v>
      </c>
      <c r="R11" s="8" t="n">
        <v>45274</v>
      </c>
      <c r="S11" s="8" t="n">
        <v>45253</v>
      </c>
      <c r="T11" s="8"/>
      <c r="U11" s="8" t="n">
        <v>45253</v>
      </c>
      <c r="V11" s="8"/>
      <c r="W11" s="6" t="s">
        <v>57</v>
      </c>
      <c r="X11" s="6" t="s">
        <v>172</v>
      </c>
      <c r="Y11" s="6" t="s">
        <v>201</v>
      </c>
      <c r="Z11" s="7"/>
      <c r="AA11" s="6" t="s">
        <v>202</v>
      </c>
      <c r="AB11" s="18" t="b">
        <f aca="false">TRUE()</f>
        <v>1</v>
      </c>
      <c r="AC11" s="18" t="b">
        <f aca="false">TRUE()</f>
        <v>1</v>
      </c>
      <c r="AD11" s="6" t="s">
        <v>203</v>
      </c>
    </row>
    <row r="12" customFormat="false" ht="30" hidden="false" customHeight="true" outlineLevel="0" collapsed="false">
      <c r="A12" s="9" t="n">
        <v>8</v>
      </c>
      <c r="B12" s="10"/>
      <c r="C12" s="10" t="s">
        <v>204</v>
      </c>
      <c r="D12" s="10" t="s">
        <v>205</v>
      </c>
      <c r="E12" s="10" t="s">
        <v>206</v>
      </c>
      <c r="F12" s="10" t="s">
        <v>37</v>
      </c>
      <c r="G12" s="11"/>
      <c r="H12" s="11"/>
      <c r="I12" s="10" t="s">
        <v>207</v>
      </c>
      <c r="J12" s="11"/>
      <c r="K12" s="12" t="n">
        <v>45251</v>
      </c>
      <c r="L12" s="12"/>
      <c r="M12" s="12"/>
      <c r="N12" s="12" t="n">
        <v>45252</v>
      </c>
      <c r="O12" s="12" t="n">
        <v>45268</v>
      </c>
      <c r="P12" s="12"/>
      <c r="Q12" s="12"/>
      <c r="R12" s="12"/>
      <c r="S12" s="12" t="n">
        <v>45301</v>
      </c>
      <c r="T12" s="12"/>
      <c r="U12" s="12" t="n">
        <v>45302</v>
      </c>
      <c r="V12" s="12"/>
      <c r="W12" s="10" t="s">
        <v>90</v>
      </c>
      <c r="X12" s="10" t="s">
        <v>172</v>
      </c>
      <c r="Y12" s="10" t="s">
        <v>208</v>
      </c>
      <c r="Z12" s="11"/>
      <c r="AA12" s="10" t="s">
        <v>209</v>
      </c>
      <c r="AB12" s="19" t="b">
        <f aca="false">TRUE()</f>
        <v>1</v>
      </c>
      <c r="AC12" s="19" t="b">
        <f aca="false">TRUE()</f>
        <v>1</v>
      </c>
      <c r="AD12" s="10" t="s">
        <v>210</v>
      </c>
    </row>
    <row r="13" customFormat="false" ht="30" hidden="false" customHeight="true" outlineLevel="0" collapsed="false">
      <c r="A13" s="5" t="n">
        <v>9</v>
      </c>
      <c r="B13" s="6"/>
      <c r="C13" s="6" t="s">
        <v>211</v>
      </c>
      <c r="D13" s="6" t="s">
        <v>212</v>
      </c>
      <c r="E13" s="6" t="s">
        <v>213</v>
      </c>
      <c r="F13" s="6" t="s">
        <v>37</v>
      </c>
      <c r="G13" s="7"/>
      <c r="H13" s="7"/>
      <c r="I13" s="6"/>
      <c r="J13" s="7"/>
      <c r="K13" s="8" t="n">
        <v>45252</v>
      </c>
      <c r="L13" s="8" t="n">
        <v>45261</v>
      </c>
      <c r="M13" s="8"/>
      <c r="N13" s="8" t="n">
        <v>45357</v>
      </c>
      <c r="O13" s="8"/>
      <c r="P13" s="8"/>
      <c r="Q13" s="8"/>
      <c r="R13" s="8"/>
      <c r="S13" s="8"/>
      <c r="T13" s="8"/>
      <c r="U13" s="8"/>
      <c r="V13" s="8"/>
      <c r="W13" s="6" t="s">
        <v>52</v>
      </c>
      <c r="X13" s="6" t="s">
        <v>172</v>
      </c>
      <c r="Y13" s="6"/>
      <c r="Z13" s="7"/>
      <c r="AA13" s="6"/>
      <c r="AB13" s="18" t="b">
        <f aca="false">FALSE()</f>
        <v>0</v>
      </c>
      <c r="AC13" s="18" t="b">
        <f aca="false">FALSE()</f>
        <v>0</v>
      </c>
      <c r="AD13" s="6"/>
    </row>
    <row r="14" customFormat="false" ht="30" hidden="false" customHeight="true" outlineLevel="0" collapsed="false">
      <c r="A14" s="9" t="n">
        <v>10</v>
      </c>
      <c r="B14" s="10"/>
      <c r="C14" s="10" t="s">
        <v>214</v>
      </c>
      <c r="D14" s="10" t="s">
        <v>215</v>
      </c>
      <c r="E14" s="10" t="s">
        <v>216</v>
      </c>
      <c r="F14" s="10" t="s">
        <v>37</v>
      </c>
      <c r="G14" s="11"/>
      <c r="H14" s="11"/>
      <c r="I14" s="10" t="s">
        <v>170</v>
      </c>
      <c r="J14" s="11"/>
      <c r="K14" s="12"/>
      <c r="L14" s="12"/>
      <c r="M14" s="12"/>
      <c r="N14" s="12" t="n">
        <v>45273</v>
      </c>
      <c r="O14" s="12" t="n">
        <v>45299</v>
      </c>
      <c r="P14" s="12"/>
      <c r="Q14" s="12"/>
      <c r="R14" s="12"/>
      <c r="S14" s="12" t="n">
        <v>45334</v>
      </c>
      <c r="T14" s="12"/>
      <c r="U14" s="12" t="n">
        <v>45334</v>
      </c>
      <c r="V14" s="12"/>
      <c r="W14" s="10" t="s">
        <v>171</v>
      </c>
      <c r="X14" s="10" t="s">
        <v>172</v>
      </c>
      <c r="Y14" s="10" t="s">
        <v>217</v>
      </c>
      <c r="Z14" s="11"/>
      <c r="AA14" s="10" t="s">
        <v>218</v>
      </c>
      <c r="AB14" s="19" t="b">
        <f aca="false">FALSE()</f>
        <v>0</v>
      </c>
      <c r="AC14" s="19" t="b">
        <f aca="false">TRUE()</f>
        <v>1</v>
      </c>
      <c r="AD14" s="10"/>
    </row>
    <row r="15" customFormat="false" ht="30" hidden="false" customHeight="true" outlineLevel="0" collapsed="false">
      <c r="A15" s="5" t="n">
        <v>11</v>
      </c>
      <c r="B15" s="6"/>
      <c r="C15" s="6" t="s">
        <v>219</v>
      </c>
      <c r="D15" s="6" t="s">
        <v>220</v>
      </c>
      <c r="E15" s="6" t="s">
        <v>221</v>
      </c>
      <c r="F15" s="6" t="s">
        <v>37</v>
      </c>
      <c r="G15" s="7"/>
      <c r="H15" s="7"/>
      <c r="I15" s="6" t="s">
        <v>170</v>
      </c>
      <c r="J15" s="7"/>
      <c r="K15" s="8"/>
      <c r="L15" s="8"/>
      <c r="M15" s="8"/>
      <c r="N15" s="8" t="n">
        <v>45279</v>
      </c>
      <c r="O15" s="8"/>
      <c r="P15" s="8"/>
      <c r="Q15" s="8"/>
      <c r="R15" s="8"/>
      <c r="S15" s="8" t="n">
        <v>45358</v>
      </c>
      <c r="T15" s="8"/>
      <c r="U15" s="8" t="n">
        <v>45358</v>
      </c>
      <c r="V15" s="8"/>
      <c r="W15" s="6" t="s">
        <v>171</v>
      </c>
      <c r="X15" s="6" t="s">
        <v>172</v>
      </c>
      <c r="Y15" s="6" t="s">
        <v>222</v>
      </c>
      <c r="Z15" s="7"/>
      <c r="AA15" s="6"/>
      <c r="AB15" s="18" t="b">
        <f aca="false">FALSE()</f>
        <v>0</v>
      </c>
      <c r="AC15" s="18" t="b">
        <f aca="false">TRUE()</f>
        <v>1</v>
      </c>
      <c r="AD15" s="6" t="s">
        <v>210</v>
      </c>
    </row>
    <row r="16" customFormat="false" ht="30" hidden="false" customHeight="true" outlineLevel="0" collapsed="false">
      <c r="A16" s="9" t="n">
        <v>12</v>
      </c>
      <c r="B16" s="10"/>
      <c r="C16" s="10" t="s">
        <v>223</v>
      </c>
      <c r="D16" s="10" t="s">
        <v>224</v>
      </c>
      <c r="E16" s="10" t="s">
        <v>225</v>
      </c>
      <c r="F16" s="10" t="s">
        <v>37</v>
      </c>
      <c r="G16" s="11"/>
      <c r="H16" s="11"/>
      <c r="I16" s="10"/>
      <c r="J16" s="11"/>
      <c r="K16" s="12"/>
      <c r="L16" s="12"/>
      <c r="M16" s="12"/>
      <c r="N16" s="12" t="n">
        <v>45288</v>
      </c>
      <c r="O16" s="12"/>
      <c r="P16" s="12"/>
      <c r="Q16" s="12"/>
      <c r="R16" s="12"/>
      <c r="S16" s="12" t="n">
        <v>45322</v>
      </c>
      <c r="T16" s="12"/>
      <c r="U16" s="12" t="n">
        <v>45322</v>
      </c>
      <c r="V16" s="12"/>
      <c r="W16" s="10" t="s">
        <v>52</v>
      </c>
      <c r="X16" s="10" t="s">
        <v>172</v>
      </c>
      <c r="Y16" s="10" t="s">
        <v>226</v>
      </c>
      <c r="Z16" s="11"/>
      <c r="AA16" s="10"/>
      <c r="AB16" s="9"/>
      <c r="AC16" s="9"/>
      <c r="AD16" s="10"/>
    </row>
    <row r="17" customFormat="false" ht="30" hidden="false" customHeight="true" outlineLevel="0" collapsed="false">
      <c r="A17" s="5" t="n">
        <v>13</v>
      </c>
      <c r="B17" s="6"/>
      <c r="C17" s="6" t="s">
        <v>227</v>
      </c>
      <c r="D17" s="6" t="s">
        <v>228</v>
      </c>
      <c r="E17" s="6" t="s">
        <v>229</v>
      </c>
      <c r="F17" s="6" t="s">
        <v>37</v>
      </c>
      <c r="G17" s="7"/>
      <c r="H17" s="7" t="n">
        <v>11165527440</v>
      </c>
      <c r="I17" s="6"/>
      <c r="J17" s="7"/>
      <c r="K17" s="8" t="n">
        <v>45307</v>
      </c>
      <c r="L17" s="8" t="n">
        <v>45310</v>
      </c>
      <c r="M17" s="8"/>
      <c r="N17" s="8" t="n">
        <v>45370</v>
      </c>
      <c r="O17" s="8" t="n">
        <v>45386</v>
      </c>
      <c r="P17" s="8"/>
      <c r="Q17" s="8" t="n">
        <v>45398</v>
      </c>
      <c r="R17" s="8"/>
      <c r="S17" s="8"/>
      <c r="T17" s="8"/>
      <c r="U17" s="8"/>
      <c r="V17" s="8"/>
      <c r="W17" s="6" t="s">
        <v>230</v>
      </c>
      <c r="X17" s="6" t="s">
        <v>172</v>
      </c>
      <c r="Y17" s="6" t="s">
        <v>231</v>
      </c>
      <c r="Z17" s="7"/>
      <c r="AA17" s="6"/>
      <c r="AB17" s="5"/>
      <c r="AC17" s="5"/>
      <c r="AD17" s="6"/>
    </row>
    <row r="18" customFormat="false" ht="30" hidden="false" customHeight="true" outlineLevel="0" collapsed="false">
      <c r="A18" s="9" t="n">
        <v>14</v>
      </c>
      <c r="B18" s="10"/>
      <c r="C18" s="10" t="s">
        <v>232</v>
      </c>
      <c r="D18" s="10" t="s">
        <v>123</v>
      </c>
      <c r="E18" s="10" t="s">
        <v>233</v>
      </c>
      <c r="F18" s="10" t="s">
        <v>234</v>
      </c>
      <c r="G18" s="11"/>
      <c r="H18" s="11"/>
      <c r="I18" s="10"/>
      <c r="J18" s="11"/>
      <c r="K18" s="12" t="n">
        <v>45310</v>
      </c>
      <c r="L18" s="12" t="n">
        <v>45323</v>
      </c>
      <c r="M18" s="12"/>
      <c r="N18" s="12"/>
      <c r="O18" s="12"/>
      <c r="P18" s="12"/>
      <c r="Q18" s="12"/>
      <c r="R18" s="12"/>
      <c r="S18" s="12"/>
      <c r="T18" s="12"/>
      <c r="U18" s="12"/>
      <c r="V18" s="12"/>
      <c r="W18" s="10" t="s">
        <v>90</v>
      </c>
      <c r="X18" s="10" t="s">
        <v>172</v>
      </c>
      <c r="Y18" s="10"/>
      <c r="Z18" s="11"/>
      <c r="AA18" s="10"/>
      <c r="AB18" s="9"/>
      <c r="AC18" s="9"/>
      <c r="AD18" s="10"/>
    </row>
    <row r="19" customFormat="false" ht="30" hidden="false" customHeight="true" outlineLevel="0" collapsed="false">
      <c r="A19" s="5" t="n">
        <v>15</v>
      </c>
      <c r="B19" s="6"/>
      <c r="C19" s="6" t="s">
        <v>235</v>
      </c>
      <c r="D19" s="6" t="s">
        <v>236</v>
      </c>
      <c r="E19" s="6" t="s">
        <v>237</v>
      </c>
      <c r="F19" s="6" t="s">
        <v>37</v>
      </c>
      <c r="G19" s="7"/>
      <c r="H19" s="7"/>
      <c r="I19" s="6"/>
      <c r="J19" s="7"/>
      <c r="K19" s="8" t="n">
        <v>45337</v>
      </c>
      <c r="L19" s="8" t="n">
        <v>45337</v>
      </c>
      <c r="M19" s="8"/>
      <c r="N19" s="8" t="n">
        <v>45356</v>
      </c>
      <c r="O19" s="8"/>
      <c r="P19" s="8"/>
      <c r="Q19" s="8"/>
      <c r="R19" s="8"/>
      <c r="S19" s="8"/>
      <c r="T19" s="8"/>
      <c r="U19" s="8"/>
      <c r="V19" s="8"/>
      <c r="W19" s="6" t="s">
        <v>52</v>
      </c>
      <c r="X19" s="6" t="s">
        <v>172</v>
      </c>
      <c r="Y19" s="6"/>
      <c r="Z19" s="7"/>
      <c r="AA19" s="6"/>
      <c r="AB19" s="5"/>
      <c r="AC19" s="5"/>
      <c r="AD19" s="6"/>
    </row>
    <row r="20" customFormat="false" ht="30" hidden="false" customHeight="true" outlineLevel="0" collapsed="false">
      <c r="A20" s="9" t="n">
        <v>16</v>
      </c>
      <c r="B20" s="10"/>
      <c r="C20" s="10" t="s">
        <v>238</v>
      </c>
      <c r="D20" s="10" t="s">
        <v>239</v>
      </c>
      <c r="E20" s="10" t="s">
        <v>240</v>
      </c>
      <c r="F20" s="10" t="s">
        <v>234</v>
      </c>
      <c r="G20" s="11"/>
      <c r="H20" s="11"/>
      <c r="I20" s="10"/>
      <c r="J20" s="11"/>
      <c r="K20" s="12" t="n">
        <v>45379</v>
      </c>
      <c r="L20" s="12" t="n">
        <v>45386</v>
      </c>
      <c r="M20" s="12"/>
      <c r="N20" s="12"/>
      <c r="O20" s="12"/>
      <c r="P20" s="12"/>
      <c r="Q20" s="12" t="n">
        <v>45405</v>
      </c>
      <c r="R20" s="12"/>
      <c r="S20" s="12"/>
      <c r="T20" s="12"/>
      <c r="U20" s="12"/>
      <c r="V20" s="12"/>
      <c r="W20" s="10" t="s">
        <v>90</v>
      </c>
      <c r="X20" s="10" t="s">
        <v>172</v>
      </c>
      <c r="Y20" s="10"/>
      <c r="Z20" s="11"/>
      <c r="AA20" s="10"/>
      <c r="AB20" s="9"/>
      <c r="AC20" s="9"/>
      <c r="AD20" s="10"/>
    </row>
    <row r="21" customFormat="false" ht="30" hidden="false" customHeight="true" outlineLevel="0" collapsed="false">
      <c r="A21" s="5" t="n">
        <v>17</v>
      </c>
      <c r="B21" s="6"/>
      <c r="C21" s="6" t="s">
        <v>241</v>
      </c>
      <c r="D21" s="6" t="s">
        <v>55</v>
      </c>
      <c r="E21" s="6" t="s">
        <v>242</v>
      </c>
      <c r="F21" s="6" t="s">
        <v>37</v>
      </c>
      <c r="G21" s="7"/>
      <c r="H21" s="7"/>
      <c r="I21" s="6"/>
      <c r="J21" s="7"/>
      <c r="K21" s="8" t="n">
        <v>45369</v>
      </c>
      <c r="L21" s="8" t="n">
        <v>45415</v>
      </c>
      <c r="M21" s="8"/>
      <c r="N21" s="8"/>
      <c r="O21" s="8"/>
      <c r="P21" s="8"/>
      <c r="Q21" s="8"/>
      <c r="R21" s="8"/>
      <c r="S21" s="8"/>
      <c r="T21" s="8"/>
      <c r="U21" s="8"/>
      <c r="V21" s="8"/>
      <c r="W21" s="6" t="s">
        <v>243</v>
      </c>
      <c r="X21" s="6" t="s">
        <v>172</v>
      </c>
      <c r="Y21" s="6"/>
      <c r="Z21" s="7"/>
      <c r="AA21" s="6"/>
      <c r="AB21" s="5"/>
      <c r="AC21" s="5"/>
      <c r="AD21" s="6"/>
    </row>
    <row r="22" customFormat="false" ht="30" hidden="false" customHeight="true" outlineLevel="0" collapsed="false">
      <c r="A22" s="9" t="n">
        <v>18</v>
      </c>
      <c r="B22" s="10"/>
      <c r="C22" s="10" t="s">
        <v>244</v>
      </c>
      <c r="D22" s="10" t="s">
        <v>64</v>
      </c>
      <c r="E22" s="10" t="s">
        <v>245</v>
      </c>
      <c r="F22" s="10" t="s">
        <v>37</v>
      </c>
      <c r="G22" s="11"/>
      <c r="H22" s="11"/>
      <c r="I22" s="10"/>
      <c r="J22" s="11"/>
      <c r="K22" s="12" t="n">
        <v>45400</v>
      </c>
      <c r="L22" s="12" t="n">
        <v>45442</v>
      </c>
      <c r="M22" s="12"/>
      <c r="N22" s="12"/>
      <c r="O22" s="12"/>
      <c r="P22" s="12"/>
      <c r="Q22" s="12"/>
      <c r="R22" s="12"/>
      <c r="S22" s="12"/>
      <c r="T22" s="12"/>
      <c r="U22" s="12"/>
      <c r="V22" s="12"/>
      <c r="W22" s="10" t="s">
        <v>52</v>
      </c>
      <c r="X22" s="10" t="s">
        <v>172</v>
      </c>
      <c r="Y22" s="10"/>
      <c r="Z22" s="11"/>
      <c r="AA22" s="10"/>
      <c r="AB22" s="9"/>
      <c r="AC22" s="9"/>
      <c r="AD22" s="10"/>
    </row>
    <row r="23" customFormat="false" ht="30" hidden="false" customHeight="true" outlineLevel="0" collapsed="false">
      <c r="A23" s="5" t="n">
        <v>19</v>
      </c>
      <c r="B23" s="6"/>
      <c r="C23" s="6" t="s">
        <v>246</v>
      </c>
      <c r="D23" s="6" t="s">
        <v>64</v>
      </c>
      <c r="E23" s="6" t="s">
        <v>247</v>
      </c>
      <c r="F23" s="6" t="s">
        <v>37</v>
      </c>
      <c r="G23" s="7"/>
      <c r="H23" s="7"/>
      <c r="I23" s="6"/>
      <c r="J23" s="7"/>
      <c r="K23" s="8" t="n">
        <v>45427</v>
      </c>
      <c r="L23" s="8" t="n">
        <v>45442</v>
      </c>
      <c r="M23" s="8"/>
      <c r="N23" s="8"/>
      <c r="O23" s="8"/>
      <c r="P23" s="8"/>
      <c r="Q23" s="8"/>
      <c r="R23" s="8"/>
      <c r="S23" s="8"/>
      <c r="T23" s="8"/>
      <c r="U23" s="8"/>
      <c r="V23" s="8"/>
      <c r="W23" s="6" t="s">
        <v>243</v>
      </c>
      <c r="X23" s="6" t="s">
        <v>172</v>
      </c>
      <c r="Y23" s="6"/>
      <c r="Z23" s="7"/>
      <c r="AA23" s="6"/>
      <c r="AB23" s="5"/>
      <c r="AC23" s="5"/>
      <c r="AD23" s="6"/>
    </row>
    <row r="24" customFormat="false" ht="30" hidden="false" customHeight="true" outlineLevel="0" collapsed="false">
      <c r="A24" s="9" t="n">
        <v>20</v>
      </c>
      <c r="B24" s="10"/>
      <c r="C24" s="10" t="s">
        <v>248</v>
      </c>
      <c r="D24" s="10" t="s">
        <v>64</v>
      </c>
      <c r="E24" s="10" t="s">
        <v>249</v>
      </c>
      <c r="F24" s="10" t="s">
        <v>37</v>
      </c>
      <c r="G24" s="11"/>
      <c r="H24" s="11"/>
      <c r="I24" s="10"/>
      <c r="J24" s="11"/>
      <c r="K24" s="12" t="n">
        <v>45506</v>
      </c>
      <c r="L24" s="12"/>
      <c r="M24" s="12"/>
      <c r="N24" s="12"/>
      <c r="O24" s="12"/>
      <c r="P24" s="12"/>
      <c r="Q24" s="12"/>
      <c r="R24" s="12"/>
      <c r="S24" s="12" t="n">
        <v>45603</v>
      </c>
      <c r="T24" s="12"/>
      <c r="U24" s="12" t="n">
        <v>45603</v>
      </c>
      <c r="V24" s="12"/>
      <c r="W24" s="10" t="s">
        <v>57</v>
      </c>
      <c r="X24" s="10" t="s">
        <v>172</v>
      </c>
      <c r="Y24" s="10"/>
      <c r="Z24" s="11"/>
      <c r="AA24" s="10"/>
      <c r="AB24" s="9"/>
      <c r="AC24" s="9"/>
      <c r="AD24" s="10"/>
    </row>
    <row r="25" customFormat="false" ht="30" hidden="false" customHeight="true" outlineLevel="0" collapsed="false">
      <c r="A25" s="5" t="n">
        <v>21</v>
      </c>
      <c r="B25" s="6"/>
      <c r="C25" s="6" t="s">
        <v>250</v>
      </c>
      <c r="D25" s="6" t="s">
        <v>35</v>
      </c>
      <c r="E25" s="6" t="s">
        <v>251</v>
      </c>
      <c r="F25" s="6" t="s">
        <v>37</v>
      </c>
      <c r="G25" s="7" t="n">
        <v>11000</v>
      </c>
      <c r="H25" s="7" t="n">
        <v>291500000</v>
      </c>
      <c r="I25" s="6"/>
      <c r="J25" s="7"/>
      <c r="K25" s="8"/>
      <c r="L25" s="8"/>
      <c r="M25" s="8"/>
      <c r="N25" s="8"/>
      <c r="O25" s="8"/>
      <c r="P25" s="8"/>
      <c r="Q25" s="8"/>
      <c r="R25" s="8"/>
      <c r="S25" s="8" t="n">
        <v>45450</v>
      </c>
      <c r="T25" s="8"/>
      <c r="U25" s="8" t="n">
        <v>45450</v>
      </c>
      <c r="V25" s="8"/>
      <c r="W25" s="6" t="s">
        <v>171</v>
      </c>
      <c r="X25" s="6" t="s">
        <v>172</v>
      </c>
      <c r="Y25" s="6"/>
      <c r="Z25" s="7"/>
      <c r="AA25" s="6"/>
      <c r="AB25" s="5"/>
      <c r="AC25" s="5"/>
      <c r="AD25" s="6"/>
    </row>
    <row r="26" customFormat="false" ht="30" hidden="false" customHeight="true" outlineLevel="0" collapsed="false">
      <c r="A26" s="9" t="n">
        <v>22</v>
      </c>
      <c r="B26" s="10"/>
      <c r="C26" s="10" t="s">
        <v>252</v>
      </c>
      <c r="D26" s="10" t="s">
        <v>55</v>
      </c>
      <c r="E26" s="10" t="s">
        <v>253</v>
      </c>
      <c r="F26" s="10" t="s">
        <v>37</v>
      </c>
      <c r="G26" s="11"/>
      <c r="H26" s="11"/>
      <c r="I26" s="10"/>
      <c r="J26" s="11"/>
      <c r="K26" s="12" t="n">
        <v>45447</v>
      </c>
      <c r="L26" s="12"/>
      <c r="M26" s="12"/>
      <c r="N26" s="12"/>
      <c r="O26" s="12"/>
      <c r="P26" s="12"/>
      <c r="Q26" s="12"/>
      <c r="R26" s="12"/>
      <c r="S26" s="12"/>
      <c r="T26" s="12"/>
      <c r="U26" s="12"/>
      <c r="V26" s="12"/>
      <c r="W26" s="10" t="s">
        <v>254</v>
      </c>
      <c r="X26" s="10" t="s">
        <v>172</v>
      </c>
      <c r="Y26" s="10" t="s">
        <v>255</v>
      </c>
      <c r="Z26" s="11"/>
      <c r="AA26" s="10"/>
      <c r="AB26" s="9"/>
      <c r="AC26" s="9"/>
      <c r="AD26" s="10"/>
    </row>
    <row r="27" customFormat="false" ht="30" hidden="false" customHeight="true" outlineLevel="0" collapsed="false">
      <c r="A27" s="5" t="n">
        <v>23</v>
      </c>
      <c r="B27" s="6"/>
      <c r="C27" s="6" t="s">
        <v>256</v>
      </c>
      <c r="D27" s="6" t="s">
        <v>55</v>
      </c>
      <c r="E27" s="6" t="s">
        <v>257</v>
      </c>
      <c r="F27" s="6" t="s">
        <v>37</v>
      </c>
      <c r="G27" s="7"/>
      <c r="H27" s="7" t="n">
        <v>4836000000</v>
      </c>
      <c r="I27" s="6"/>
      <c r="J27" s="7"/>
      <c r="K27" s="8" t="n">
        <v>45357</v>
      </c>
      <c r="L27" s="8"/>
      <c r="M27" s="8"/>
      <c r="N27" s="8" t="n">
        <v>45405</v>
      </c>
      <c r="O27" s="8"/>
      <c r="P27" s="8"/>
      <c r="Q27" s="8" t="n">
        <v>45443</v>
      </c>
      <c r="R27" s="8"/>
      <c r="S27" s="8" t="n">
        <v>45492</v>
      </c>
      <c r="T27" s="8"/>
      <c r="U27" s="8" t="n">
        <v>45492</v>
      </c>
      <c r="V27" s="8"/>
      <c r="W27" s="6" t="s">
        <v>171</v>
      </c>
      <c r="X27" s="6" t="s">
        <v>172</v>
      </c>
      <c r="Y27" s="6" t="s">
        <v>258</v>
      </c>
      <c r="Z27" s="7"/>
      <c r="AA27" s="6"/>
      <c r="AB27" s="5"/>
      <c r="AC27" s="5"/>
      <c r="AD27" s="6"/>
    </row>
    <row r="28" customFormat="false" ht="30" hidden="false" customHeight="true" outlineLevel="0" collapsed="false">
      <c r="A28" s="9" t="n">
        <v>24</v>
      </c>
      <c r="B28" s="10"/>
      <c r="C28" s="10" t="s">
        <v>259</v>
      </c>
      <c r="D28" s="10" t="s">
        <v>260</v>
      </c>
      <c r="E28" s="10" t="s">
        <v>261</v>
      </c>
      <c r="F28" s="10" t="s">
        <v>37</v>
      </c>
      <c r="G28" s="11"/>
      <c r="H28" s="11"/>
      <c r="I28" s="10"/>
      <c r="J28" s="11"/>
      <c r="K28" s="12"/>
      <c r="L28" s="12" t="n">
        <v>45467</v>
      </c>
      <c r="M28" s="12"/>
      <c r="N28" s="12"/>
      <c r="O28" s="12"/>
      <c r="P28" s="12"/>
      <c r="Q28" s="12" t="n">
        <v>45632</v>
      </c>
      <c r="R28" s="12"/>
      <c r="S28" s="12" t="n">
        <v>45632</v>
      </c>
      <c r="T28" s="12"/>
      <c r="U28" s="12" t="n">
        <v>45751</v>
      </c>
      <c r="V28" s="12"/>
      <c r="W28" s="10" t="s">
        <v>171</v>
      </c>
      <c r="X28" s="10" t="s">
        <v>172</v>
      </c>
      <c r="Y28" s="10" t="s">
        <v>262</v>
      </c>
      <c r="Z28" s="11"/>
      <c r="AA28" s="10"/>
      <c r="AB28" s="9"/>
      <c r="AC28" s="9"/>
      <c r="AD28" s="10"/>
    </row>
    <row r="29" customFormat="false" ht="30" hidden="false" customHeight="true" outlineLevel="0" collapsed="false">
      <c r="A29" s="5" t="n">
        <v>25</v>
      </c>
      <c r="B29" s="6"/>
      <c r="C29" s="6" t="s">
        <v>263</v>
      </c>
      <c r="D29" s="6" t="s">
        <v>264</v>
      </c>
      <c r="E29" s="6" t="s">
        <v>265</v>
      </c>
      <c r="F29" s="6" t="s">
        <v>37</v>
      </c>
      <c r="G29" s="7"/>
      <c r="H29" s="7"/>
      <c r="I29" s="6"/>
      <c r="J29" s="7"/>
      <c r="K29" s="8"/>
      <c r="L29" s="8"/>
      <c r="M29" s="8"/>
      <c r="N29" s="8"/>
      <c r="O29" s="8"/>
      <c r="P29" s="8"/>
      <c r="Q29" s="8"/>
      <c r="R29" s="8"/>
      <c r="S29" s="8" t="n">
        <v>45498</v>
      </c>
      <c r="T29" s="8"/>
      <c r="U29" s="8" t="n">
        <v>45498</v>
      </c>
      <c r="V29" s="8"/>
      <c r="W29" s="6" t="s">
        <v>57</v>
      </c>
      <c r="X29" s="6" t="s">
        <v>172</v>
      </c>
      <c r="Y29" s="6" t="s">
        <v>266</v>
      </c>
      <c r="Z29" s="7"/>
      <c r="AA29" s="6"/>
      <c r="AB29" s="5"/>
      <c r="AC29" s="5"/>
      <c r="AD29" s="6"/>
    </row>
    <row r="30" customFormat="false" ht="30" hidden="false" customHeight="true" outlineLevel="0" collapsed="false">
      <c r="A30" s="9" t="n">
        <v>26</v>
      </c>
      <c r="B30" s="10"/>
      <c r="C30" s="10"/>
      <c r="D30" s="10" t="s">
        <v>35</v>
      </c>
      <c r="E30" s="10" t="s">
        <v>36</v>
      </c>
      <c r="F30" s="10" t="s">
        <v>37</v>
      </c>
      <c r="G30" s="11"/>
      <c r="H30" s="11"/>
      <c r="I30" s="10"/>
      <c r="J30" s="11"/>
      <c r="K30" s="12" t="n">
        <v>45359</v>
      </c>
      <c r="L30" s="12" t="n">
        <v>45365</v>
      </c>
      <c r="M30" s="12"/>
      <c r="N30" s="12"/>
      <c r="O30" s="12"/>
      <c r="P30" s="12"/>
      <c r="Q30" s="12"/>
      <c r="R30" s="12"/>
      <c r="S30" s="12"/>
      <c r="T30" s="12"/>
      <c r="U30" s="12"/>
      <c r="V30" s="12"/>
      <c r="W30" s="10"/>
      <c r="X30" s="10"/>
      <c r="Y30" s="10" t="s">
        <v>267</v>
      </c>
      <c r="Z30" s="11"/>
      <c r="AA30" s="10"/>
      <c r="AB30" s="9"/>
      <c r="AC30" s="9"/>
      <c r="AD30" s="10"/>
    </row>
    <row r="31" customFormat="false" ht="30" hidden="false" customHeight="true" outlineLevel="0" collapsed="false">
      <c r="A31" s="5" t="n">
        <v>27</v>
      </c>
      <c r="B31" s="6"/>
      <c r="C31" s="6" t="s">
        <v>268</v>
      </c>
      <c r="D31" s="6" t="s">
        <v>55</v>
      </c>
      <c r="E31" s="6" t="s">
        <v>269</v>
      </c>
      <c r="F31" s="6" t="s">
        <v>37</v>
      </c>
      <c r="G31" s="7"/>
      <c r="H31" s="7"/>
      <c r="I31" s="6"/>
      <c r="J31" s="7"/>
      <c r="K31" s="8" t="n">
        <v>45490</v>
      </c>
      <c r="L31" s="8" t="n">
        <v>45513</v>
      </c>
      <c r="M31" s="8"/>
      <c r="N31" s="8"/>
      <c r="O31" s="8"/>
      <c r="P31" s="8"/>
      <c r="Q31" s="8" t="n">
        <v>45621</v>
      </c>
      <c r="R31" s="8"/>
      <c r="S31" s="8" t="n">
        <v>45646</v>
      </c>
      <c r="T31" s="8"/>
      <c r="U31" s="8" t="n">
        <v>45646</v>
      </c>
      <c r="V31" s="8"/>
      <c r="W31" s="6" t="s">
        <v>90</v>
      </c>
      <c r="X31" s="6" t="s">
        <v>172</v>
      </c>
      <c r="Y31" s="6" t="s">
        <v>270</v>
      </c>
      <c r="Z31" s="7"/>
      <c r="AA31" s="6"/>
      <c r="AB31" s="5"/>
      <c r="AC31" s="5"/>
      <c r="AD31" s="6"/>
    </row>
    <row r="32" customFormat="false" ht="30" hidden="false" customHeight="true" outlineLevel="0" collapsed="false">
      <c r="A32" s="9" t="n">
        <v>28</v>
      </c>
      <c r="B32" s="10"/>
      <c r="C32" s="10" t="s">
        <v>271</v>
      </c>
      <c r="D32" s="10" t="s">
        <v>55</v>
      </c>
      <c r="E32" s="10" t="s">
        <v>272</v>
      </c>
      <c r="F32" s="10" t="s">
        <v>37</v>
      </c>
      <c r="G32" s="11"/>
      <c r="H32" s="11"/>
      <c r="I32" s="10" t="s">
        <v>170</v>
      </c>
      <c r="J32" s="11"/>
      <c r="K32" s="12" t="n">
        <v>45523</v>
      </c>
      <c r="L32" s="12" t="n">
        <v>45560</v>
      </c>
      <c r="M32" s="12"/>
      <c r="N32" s="12" t="n">
        <v>45608</v>
      </c>
      <c r="O32" s="12"/>
      <c r="P32" s="12"/>
      <c r="Q32" s="12" t="n">
        <v>45621</v>
      </c>
      <c r="R32" s="12" t="n">
        <v>45618</v>
      </c>
      <c r="S32" s="12" t="n">
        <v>45652</v>
      </c>
      <c r="T32" s="12"/>
      <c r="U32" s="12" t="n">
        <v>45652</v>
      </c>
      <c r="V32" s="12"/>
      <c r="W32" s="10" t="s">
        <v>90</v>
      </c>
      <c r="X32" s="10" t="s">
        <v>172</v>
      </c>
      <c r="Y32" s="10" t="s">
        <v>273</v>
      </c>
      <c r="Z32" s="11"/>
      <c r="AA32" s="10"/>
      <c r="AB32" s="9"/>
      <c r="AC32" s="9"/>
      <c r="AD32" s="10"/>
    </row>
    <row r="33" customFormat="false" ht="30" hidden="false" customHeight="true" outlineLevel="0" collapsed="false">
      <c r="A33" s="5" t="n">
        <v>29</v>
      </c>
      <c r="B33" s="6"/>
      <c r="C33" s="6" t="s">
        <v>274</v>
      </c>
      <c r="D33" s="6" t="s">
        <v>275</v>
      </c>
      <c r="E33" s="6" t="s">
        <v>276</v>
      </c>
      <c r="F33" s="6" t="s">
        <v>37</v>
      </c>
      <c r="G33" s="7"/>
      <c r="H33" s="7"/>
      <c r="I33" s="6" t="s">
        <v>170</v>
      </c>
      <c r="J33" s="7"/>
      <c r="K33" s="8"/>
      <c r="L33" s="8"/>
      <c r="M33" s="8"/>
      <c r="N33" s="8"/>
      <c r="O33" s="8"/>
      <c r="P33" s="8"/>
      <c r="Q33" s="8"/>
      <c r="R33" s="8"/>
      <c r="S33" s="8" t="n">
        <v>45649</v>
      </c>
      <c r="T33" s="8"/>
      <c r="U33" s="8"/>
      <c r="V33" s="8"/>
      <c r="W33" s="6" t="s">
        <v>52</v>
      </c>
      <c r="X33" s="6" t="s">
        <v>172</v>
      </c>
      <c r="Y33" s="6"/>
      <c r="Z33" s="7"/>
      <c r="AA33" s="6"/>
      <c r="AB33" s="5"/>
      <c r="AC33" s="5"/>
      <c r="AD33" s="6"/>
    </row>
    <row r="34" customFormat="false" ht="30" hidden="false" customHeight="true" outlineLevel="0" collapsed="false">
      <c r="A34" s="9" t="n">
        <v>30</v>
      </c>
      <c r="B34" s="10"/>
      <c r="C34" s="10" t="s">
        <v>277</v>
      </c>
      <c r="D34" s="10" t="s">
        <v>46</v>
      </c>
      <c r="E34" s="10" t="s">
        <v>278</v>
      </c>
      <c r="F34" s="10" t="s">
        <v>37</v>
      </c>
      <c r="G34" s="11"/>
      <c r="H34" s="11"/>
      <c r="I34" s="10" t="s">
        <v>170</v>
      </c>
      <c r="J34" s="11"/>
      <c r="K34" s="12"/>
      <c r="L34" s="12"/>
      <c r="M34" s="12"/>
      <c r="N34" s="12" t="n">
        <v>45630</v>
      </c>
      <c r="O34" s="12"/>
      <c r="P34" s="12"/>
      <c r="Q34" s="12"/>
      <c r="R34" s="12"/>
      <c r="S34" s="12"/>
      <c r="T34" s="12"/>
      <c r="U34" s="12"/>
      <c r="V34" s="12"/>
      <c r="W34" s="10" t="s">
        <v>99</v>
      </c>
      <c r="X34" s="10" t="s">
        <v>172</v>
      </c>
      <c r="Y34" s="10" t="s">
        <v>279</v>
      </c>
      <c r="Z34" s="11"/>
      <c r="AA34" s="10"/>
      <c r="AB34" s="9"/>
      <c r="AC34" s="9"/>
      <c r="AD34" s="10"/>
    </row>
    <row r="35" customFormat="false" ht="30" hidden="false" customHeight="true" outlineLevel="0" collapsed="false">
      <c r="A35" s="5" t="n">
        <v>31</v>
      </c>
      <c r="B35" s="6"/>
      <c r="C35" s="6" t="s">
        <v>280</v>
      </c>
      <c r="D35" s="6" t="s">
        <v>281</v>
      </c>
      <c r="E35" s="6" t="s">
        <v>282</v>
      </c>
      <c r="F35" s="6" t="s">
        <v>37</v>
      </c>
      <c r="G35" s="7"/>
      <c r="H35" s="7"/>
      <c r="I35" s="6"/>
      <c r="J35" s="7"/>
      <c r="K35" s="8" t="n">
        <v>45604</v>
      </c>
      <c r="L35" s="8" t="n">
        <v>45618</v>
      </c>
      <c r="M35" s="8"/>
      <c r="N35" s="8" t="n">
        <v>45653</v>
      </c>
      <c r="O35" s="8"/>
      <c r="P35" s="8"/>
      <c r="Q35" s="8" t="n">
        <v>45678</v>
      </c>
      <c r="R35" s="8"/>
      <c r="S35" s="8" t="n">
        <v>45688</v>
      </c>
      <c r="T35" s="8"/>
      <c r="U35" s="8" t="n">
        <v>45688</v>
      </c>
      <c r="V35" s="8"/>
      <c r="W35" s="6" t="s">
        <v>90</v>
      </c>
      <c r="X35" s="6" t="s">
        <v>172</v>
      </c>
      <c r="Y35" s="6" t="s">
        <v>283</v>
      </c>
      <c r="Z35" s="7"/>
      <c r="AA35" s="6"/>
      <c r="AB35" s="5"/>
      <c r="AC35" s="5"/>
      <c r="AD35" s="6"/>
    </row>
    <row r="36" customFormat="false" ht="30" hidden="false" customHeight="true" outlineLevel="0" collapsed="false">
      <c r="A36" s="9" t="n">
        <v>32</v>
      </c>
      <c r="B36" s="10"/>
      <c r="C36" s="10" t="s">
        <v>284</v>
      </c>
      <c r="D36" s="10" t="s">
        <v>118</v>
      </c>
      <c r="E36" s="10" t="s">
        <v>119</v>
      </c>
      <c r="F36" s="10" t="s">
        <v>37</v>
      </c>
      <c r="G36" s="11"/>
      <c r="H36" s="11"/>
      <c r="I36" s="10" t="s">
        <v>170</v>
      </c>
      <c r="J36" s="11"/>
      <c r="K36" s="12"/>
      <c r="L36" s="12"/>
      <c r="M36" s="12"/>
      <c r="N36" s="12" t="n">
        <v>45638</v>
      </c>
      <c r="O36" s="12"/>
      <c r="P36" s="12"/>
      <c r="Q36" s="12" t="n">
        <v>45744</v>
      </c>
      <c r="R36" s="12"/>
      <c r="S36" s="12" t="n">
        <v>45768</v>
      </c>
      <c r="T36" s="12"/>
      <c r="U36" s="12" t="n">
        <v>45768</v>
      </c>
      <c r="V36" s="12"/>
      <c r="W36" s="10" t="s">
        <v>90</v>
      </c>
      <c r="X36" s="10" t="s">
        <v>172</v>
      </c>
      <c r="Y36" s="10" t="s">
        <v>285</v>
      </c>
      <c r="Z36" s="11"/>
      <c r="AA36" s="10"/>
      <c r="AB36" s="9"/>
      <c r="AC36" s="9"/>
      <c r="AD36" s="10"/>
    </row>
    <row r="37" customFormat="false" ht="30" hidden="false" customHeight="true" outlineLevel="0" collapsed="false">
      <c r="A37" s="5" t="n">
        <v>33</v>
      </c>
      <c r="B37" s="6"/>
      <c r="C37" s="6" t="s">
        <v>286</v>
      </c>
      <c r="D37" s="6" t="s">
        <v>64</v>
      </c>
      <c r="E37" s="6" t="s">
        <v>287</v>
      </c>
      <c r="F37" s="6" t="s">
        <v>37</v>
      </c>
      <c r="G37" s="7"/>
      <c r="H37" s="7" t="n">
        <v>48182800000</v>
      </c>
      <c r="I37" s="6"/>
      <c r="J37" s="7"/>
      <c r="K37" s="8" t="n">
        <v>45644</v>
      </c>
      <c r="L37" s="8" t="n">
        <v>45666</v>
      </c>
      <c r="M37" s="8" t="n">
        <v>45694</v>
      </c>
      <c r="N37" s="8"/>
      <c r="O37" s="8"/>
      <c r="P37" s="8"/>
      <c r="Q37" s="8"/>
      <c r="R37" s="8"/>
      <c r="S37" s="8" t="n">
        <v>45798</v>
      </c>
      <c r="T37" s="8"/>
      <c r="U37" s="8" t="n">
        <v>45798</v>
      </c>
      <c r="V37" s="8"/>
      <c r="W37" s="6" t="s">
        <v>171</v>
      </c>
      <c r="X37" s="6"/>
      <c r="Y37" s="6" t="s">
        <v>288</v>
      </c>
      <c r="Z37" s="7" t="n">
        <v>30644000000</v>
      </c>
      <c r="AA37" s="6"/>
      <c r="AB37" s="5"/>
      <c r="AC37" s="5"/>
      <c r="AD37" s="6"/>
    </row>
    <row r="38" customFormat="false" ht="30" hidden="false" customHeight="true" outlineLevel="0" collapsed="false">
      <c r="A38" s="9" t="n">
        <v>34</v>
      </c>
      <c r="B38" s="10"/>
      <c r="C38" s="10" t="s">
        <v>289</v>
      </c>
      <c r="D38" s="10" t="s">
        <v>35</v>
      </c>
      <c r="E38" s="10" t="s">
        <v>290</v>
      </c>
      <c r="F38" s="10" t="s">
        <v>37</v>
      </c>
      <c r="G38" s="11" t="n">
        <v>2400</v>
      </c>
      <c r="H38" s="11" t="n">
        <v>129600000</v>
      </c>
      <c r="I38" s="10"/>
      <c r="J38" s="11"/>
      <c r="K38" s="12"/>
      <c r="L38" s="12"/>
      <c r="M38" s="12"/>
      <c r="N38" s="12"/>
      <c r="O38" s="12"/>
      <c r="P38" s="12"/>
      <c r="Q38" s="12"/>
      <c r="R38" s="12"/>
      <c r="S38" s="12" t="n">
        <v>45688</v>
      </c>
      <c r="T38" s="12"/>
      <c r="U38" s="12"/>
      <c r="V38" s="12"/>
      <c r="W38" s="10"/>
      <c r="X38" s="10"/>
      <c r="Y38" s="10"/>
      <c r="Z38" s="11"/>
      <c r="AA38" s="10"/>
      <c r="AB38" s="9"/>
      <c r="AC38" s="9"/>
      <c r="AD38" s="10"/>
    </row>
    <row r="39" customFormat="false" ht="30" hidden="false" customHeight="true" outlineLevel="0" collapsed="false">
      <c r="A39" s="5" t="n">
        <v>35</v>
      </c>
      <c r="B39" s="6"/>
      <c r="C39" s="6" t="s">
        <v>291</v>
      </c>
      <c r="D39" s="6" t="s">
        <v>35</v>
      </c>
      <c r="E39" s="6" t="s">
        <v>292</v>
      </c>
      <c r="F39" s="6" t="s">
        <v>37</v>
      </c>
      <c r="G39" s="7" t="n">
        <v>8400</v>
      </c>
      <c r="H39" s="7" t="n">
        <v>344400000</v>
      </c>
      <c r="I39" s="6"/>
      <c r="J39" s="7"/>
      <c r="K39" s="8"/>
      <c r="L39" s="8"/>
      <c r="M39" s="8"/>
      <c r="N39" s="8"/>
      <c r="O39" s="8"/>
      <c r="P39" s="8"/>
      <c r="Q39" s="8"/>
      <c r="R39" s="8"/>
      <c r="S39" s="8" t="n">
        <v>45714</v>
      </c>
      <c r="T39" s="8"/>
      <c r="U39" s="8" t="n">
        <v>45714</v>
      </c>
      <c r="V39" s="8"/>
      <c r="W39" s="6" t="s">
        <v>57</v>
      </c>
      <c r="X39" s="6"/>
      <c r="Y39" s="6"/>
      <c r="Z39" s="7"/>
      <c r="AA39" s="6"/>
      <c r="AB39" s="5"/>
      <c r="AC39" s="5"/>
      <c r="AD39" s="6"/>
    </row>
    <row r="40" customFormat="false" ht="30" hidden="false" customHeight="true" outlineLevel="0" collapsed="false">
      <c r="A40" s="9" t="n">
        <v>36</v>
      </c>
      <c r="B40" s="10"/>
      <c r="C40" s="10" t="s">
        <v>293</v>
      </c>
      <c r="D40" s="10" t="s">
        <v>294</v>
      </c>
      <c r="E40" s="10" t="s">
        <v>295</v>
      </c>
      <c r="F40" s="10" t="s">
        <v>296</v>
      </c>
      <c r="G40" s="11"/>
      <c r="H40" s="11"/>
      <c r="I40" s="10"/>
      <c r="J40" s="11"/>
      <c r="K40" s="12" t="n">
        <v>45712</v>
      </c>
      <c r="L40" s="12" t="n">
        <v>45758</v>
      </c>
      <c r="M40" s="12"/>
      <c r="N40" s="12"/>
      <c r="O40" s="12"/>
      <c r="P40" s="12"/>
      <c r="Q40" s="12"/>
      <c r="R40" s="12"/>
      <c r="S40" s="12"/>
      <c r="T40" s="12"/>
      <c r="U40" s="12"/>
      <c r="V40" s="12"/>
      <c r="W40" s="10" t="s">
        <v>99</v>
      </c>
      <c r="X40" s="10"/>
      <c r="Y40" s="10" t="s">
        <v>297</v>
      </c>
      <c r="Z40" s="11"/>
      <c r="AA40" s="10"/>
      <c r="AB40" s="9"/>
      <c r="AC40" s="9"/>
      <c r="AD40" s="10"/>
    </row>
    <row r="41" customFormat="false" ht="30" hidden="false" customHeight="true" outlineLevel="0" collapsed="false">
      <c r="A41" s="5" t="n">
        <v>37</v>
      </c>
      <c r="B41" s="6"/>
      <c r="C41" s="6" t="s">
        <v>298</v>
      </c>
      <c r="D41" s="6" t="s">
        <v>299</v>
      </c>
      <c r="E41" s="6" t="s">
        <v>300</v>
      </c>
      <c r="F41" s="6" t="s">
        <v>37</v>
      </c>
      <c r="G41" s="7"/>
      <c r="H41" s="7"/>
      <c r="I41" s="6"/>
      <c r="J41" s="7"/>
      <c r="K41" s="8" t="n">
        <v>45716</v>
      </c>
      <c r="L41" s="8" t="n">
        <v>45723</v>
      </c>
      <c r="M41" s="8"/>
      <c r="N41" s="8"/>
      <c r="O41" s="8"/>
      <c r="P41" s="8"/>
      <c r="Q41" s="8"/>
      <c r="R41" s="8"/>
      <c r="S41" s="8"/>
      <c r="T41" s="8"/>
      <c r="U41" s="8"/>
      <c r="V41" s="8"/>
      <c r="W41" s="6" t="s">
        <v>90</v>
      </c>
      <c r="X41" s="6"/>
      <c r="Y41" s="6" t="s">
        <v>301</v>
      </c>
      <c r="Z41" s="7"/>
      <c r="AA41" s="6"/>
      <c r="AB41" s="5"/>
      <c r="AC41" s="5"/>
      <c r="AD41" s="6"/>
    </row>
    <row r="42" customFormat="false" ht="30" hidden="false" customHeight="true" outlineLevel="0" collapsed="false">
      <c r="A42" s="9" t="n">
        <v>38</v>
      </c>
      <c r="B42" s="10"/>
      <c r="C42" s="10" t="s">
        <v>302</v>
      </c>
      <c r="D42" s="10" t="s">
        <v>55</v>
      </c>
      <c r="E42" s="10" t="s">
        <v>303</v>
      </c>
      <c r="F42" s="10" t="s">
        <v>37</v>
      </c>
      <c r="G42" s="11"/>
      <c r="H42" s="11" t="n">
        <v>4680000000</v>
      </c>
      <c r="I42" s="10"/>
      <c r="J42" s="11"/>
      <c r="K42" s="12" t="n">
        <v>45721</v>
      </c>
      <c r="L42" s="12" t="n">
        <v>45734</v>
      </c>
      <c r="M42" s="12"/>
      <c r="N42" s="12" t="n">
        <v>45762</v>
      </c>
      <c r="O42" s="12"/>
      <c r="P42" s="12"/>
      <c r="Q42" s="12" t="n">
        <v>45772</v>
      </c>
      <c r="R42" s="12"/>
      <c r="S42" s="12" t="n">
        <v>45772</v>
      </c>
      <c r="T42" s="12"/>
      <c r="U42" s="12"/>
      <c r="V42" s="12"/>
      <c r="W42" s="10" t="s">
        <v>57</v>
      </c>
      <c r="X42" s="10"/>
      <c r="Y42" s="10" t="s">
        <v>304</v>
      </c>
      <c r="Z42" s="11"/>
      <c r="AA42" s="10"/>
      <c r="AB42" s="9"/>
      <c r="AC42" s="9"/>
      <c r="AD42" s="10"/>
    </row>
    <row r="43" customFormat="false" ht="30" hidden="false" customHeight="true" outlineLevel="0" collapsed="false">
      <c r="A43" s="5" t="n">
        <v>39</v>
      </c>
      <c r="B43" s="6"/>
      <c r="C43" s="6" t="s">
        <v>305</v>
      </c>
      <c r="D43" s="6" t="s">
        <v>35</v>
      </c>
      <c r="E43" s="6" t="s">
        <v>251</v>
      </c>
      <c r="F43" s="6" t="s">
        <v>37</v>
      </c>
      <c r="G43" s="7" t="n">
        <v>2000</v>
      </c>
      <c r="H43" s="7" t="n">
        <v>49400000</v>
      </c>
      <c r="I43" s="6"/>
      <c r="J43" s="7"/>
      <c r="K43" s="8"/>
      <c r="L43" s="8"/>
      <c r="M43" s="8"/>
      <c r="N43" s="8"/>
      <c r="O43" s="8"/>
      <c r="P43" s="8"/>
      <c r="Q43" s="8"/>
      <c r="R43" s="8"/>
      <c r="S43" s="8" t="n">
        <v>45734</v>
      </c>
      <c r="T43" s="8"/>
      <c r="U43" s="8"/>
      <c r="V43" s="8"/>
      <c r="W43" s="6" t="s">
        <v>52</v>
      </c>
      <c r="X43" s="6"/>
      <c r="Y43" s="6" t="s">
        <v>306</v>
      </c>
      <c r="Z43" s="7"/>
      <c r="AA43" s="6"/>
      <c r="AB43" s="5"/>
      <c r="AC43" s="5"/>
      <c r="AD43" s="6"/>
    </row>
    <row r="44" customFormat="false" ht="30" hidden="false" customHeight="true" outlineLevel="0" collapsed="false">
      <c r="A44" s="9" t="n">
        <v>40</v>
      </c>
      <c r="B44" s="10"/>
      <c r="C44" s="10" t="s">
        <v>307</v>
      </c>
      <c r="D44" s="10" t="s">
        <v>35</v>
      </c>
      <c r="E44" s="10" t="s">
        <v>308</v>
      </c>
      <c r="F44" s="10" t="s">
        <v>37</v>
      </c>
      <c r="G44" s="11" t="n">
        <v>8400</v>
      </c>
      <c r="H44" s="11" t="n">
        <v>389550000</v>
      </c>
      <c r="I44" s="10"/>
      <c r="J44" s="11"/>
      <c r="K44" s="12" t="n">
        <v>45730</v>
      </c>
      <c r="L44" s="12"/>
      <c r="M44" s="12"/>
      <c r="N44" s="12"/>
      <c r="O44" s="12"/>
      <c r="P44" s="12"/>
      <c r="Q44" s="12"/>
      <c r="R44" s="12"/>
      <c r="S44" s="12" t="n">
        <v>45763</v>
      </c>
      <c r="T44" s="12"/>
      <c r="U44" s="12" t="n">
        <v>45763</v>
      </c>
      <c r="V44" s="12"/>
      <c r="W44" s="10" t="s">
        <v>57</v>
      </c>
      <c r="X44" s="10"/>
      <c r="Y44" s="10"/>
      <c r="Z44" s="11"/>
      <c r="AA44" s="10"/>
      <c r="AB44" s="9"/>
      <c r="AC44" s="9"/>
      <c r="AD44" s="10"/>
    </row>
    <row r="45" customFormat="false" ht="30" hidden="false" customHeight="true" outlineLevel="0" collapsed="false">
      <c r="A45" s="5" t="n">
        <v>41</v>
      </c>
      <c r="B45" s="6"/>
      <c r="C45" s="6" t="s">
        <v>309</v>
      </c>
      <c r="D45" s="6" t="s">
        <v>55</v>
      </c>
      <c r="E45" s="6" t="s">
        <v>310</v>
      </c>
      <c r="F45" s="6" t="s">
        <v>37</v>
      </c>
      <c r="G45" s="7"/>
      <c r="H45" s="7"/>
      <c r="I45" s="6"/>
      <c r="J45" s="7"/>
      <c r="K45" s="8" t="n">
        <v>45741</v>
      </c>
      <c r="L45" s="8" t="n">
        <v>45768</v>
      </c>
      <c r="M45" s="8"/>
      <c r="N45" s="8"/>
      <c r="O45" s="8"/>
      <c r="P45" s="8"/>
      <c r="Q45" s="8" t="n">
        <v>45825</v>
      </c>
      <c r="R45" s="8"/>
      <c r="S45" s="8"/>
      <c r="T45" s="8"/>
      <c r="U45" s="8"/>
      <c r="V45" s="8"/>
      <c r="W45" s="6" t="s">
        <v>99</v>
      </c>
      <c r="X45" s="6"/>
      <c r="Y45" s="6" t="s">
        <v>311</v>
      </c>
      <c r="Z45" s="7"/>
      <c r="AA45" s="6"/>
      <c r="AB45" s="5"/>
      <c r="AC45" s="5"/>
      <c r="AD45" s="6"/>
    </row>
    <row r="46" customFormat="false" ht="30" hidden="false" customHeight="true" outlineLevel="0" collapsed="false">
      <c r="A46" s="9" t="n">
        <v>42</v>
      </c>
      <c r="B46" s="10"/>
      <c r="C46" s="10" t="s">
        <v>312</v>
      </c>
      <c r="D46" s="10" t="s">
        <v>55</v>
      </c>
      <c r="E46" s="10" t="s">
        <v>313</v>
      </c>
      <c r="F46" s="10" t="s">
        <v>37</v>
      </c>
      <c r="G46" s="11"/>
      <c r="H46" s="11"/>
      <c r="I46" s="10"/>
      <c r="J46" s="11"/>
      <c r="K46" s="12" t="n">
        <v>45733</v>
      </c>
      <c r="L46" s="12" t="n">
        <v>45821</v>
      </c>
      <c r="M46" s="12"/>
      <c r="N46" s="12"/>
      <c r="O46" s="12"/>
      <c r="P46" s="12"/>
      <c r="Q46" s="12"/>
      <c r="R46" s="12"/>
      <c r="S46" s="12"/>
      <c r="T46" s="12"/>
      <c r="U46" s="12"/>
      <c r="V46" s="12"/>
      <c r="W46" s="10" t="s">
        <v>90</v>
      </c>
      <c r="X46" s="10"/>
      <c r="Y46" s="10"/>
      <c r="Z46" s="11"/>
      <c r="AA46" s="10"/>
      <c r="AB46" s="9"/>
      <c r="AC46" s="9"/>
      <c r="AD46" s="10"/>
    </row>
    <row r="47" customFormat="false" ht="30" hidden="false" customHeight="true" outlineLevel="0" collapsed="false">
      <c r="A47" s="5" t="n">
        <v>43</v>
      </c>
      <c r="B47" s="6"/>
      <c r="C47" s="6" t="s">
        <v>314</v>
      </c>
      <c r="D47" s="6" t="s">
        <v>55</v>
      </c>
      <c r="E47" s="6" t="s">
        <v>315</v>
      </c>
      <c r="F47" s="6" t="s">
        <v>37</v>
      </c>
      <c r="G47" s="7"/>
      <c r="H47" s="7" t="n">
        <v>23612486000</v>
      </c>
      <c r="I47" s="6"/>
      <c r="J47" s="7"/>
      <c r="K47" s="8" t="n">
        <v>45737</v>
      </c>
      <c r="L47" s="8" t="n">
        <v>45758</v>
      </c>
      <c r="M47" s="8"/>
      <c r="N47" s="8" t="n">
        <v>45826</v>
      </c>
      <c r="O47" s="8"/>
      <c r="P47" s="8"/>
      <c r="Q47" s="8" t="n">
        <v>45832</v>
      </c>
      <c r="R47" s="8"/>
      <c r="S47" s="8" t="n">
        <v>45842</v>
      </c>
      <c r="T47" s="8" t="n">
        <v>45862</v>
      </c>
      <c r="U47" s="8" t="n">
        <v>45842</v>
      </c>
      <c r="V47" s="8"/>
      <c r="W47" s="6" t="s">
        <v>230</v>
      </c>
      <c r="X47" s="6"/>
      <c r="Y47" s="6"/>
      <c r="Z47" s="7"/>
      <c r="AA47" s="6"/>
      <c r="AB47" s="5"/>
      <c r="AC47" s="5"/>
      <c r="AD47" s="6"/>
    </row>
    <row r="48" customFormat="false" ht="30" hidden="false" customHeight="true" outlineLevel="0" collapsed="false">
      <c r="A48" s="9" t="n">
        <v>44</v>
      </c>
      <c r="B48" s="10"/>
      <c r="C48" s="10" t="s">
        <v>316</v>
      </c>
      <c r="D48" s="10" t="s">
        <v>55</v>
      </c>
      <c r="E48" s="10" t="s">
        <v>317</v>
      </c>
      <c r="F48" s="10"/>
      <c r="G48" s="11"/>
      <c r="H48" s="11"/>
      <c r="I48" s="10"/>
      <c r="J48" s="11"/>
      <c r="K48" s="12" t="n">
        <v>45772</v>
      </c>
      <c r="L48" s="12"/>
      <c r="M48" s="12"/>
      <c r="N48" s="12"/>
      <c r="O48" s="12"/>
      <c r="P48" s="12"/>
      <c r="Q48" s="12"/>
      <c r="R48" s="12"/>
      <c r="S48" s="12"/>
      <c r="T48" s="12"/>
      <c r="U48" s="12"/>
      <c r="V48" s="12"/>
      <c r="W48" s="10" t="s">
        <v>99</v>
      </c>
      <c r="X48" s="10"/>
      <c r="Y48" s="10"/>
      <c r="Z48" s="11"/>
      <c r="AA48" s="10"/>
      <c r="AB48" s="9"/>
      <c r="AC48" s="9"/>
      <c r="AD48" s="10"/>
    </row>
    <row r="49" customFormat="false" ht="30" hidden="false" customHeight="true" outlineLevel="0" collapsed="false">
      <c r="A49" s="5" t="n">
        <v>45</v>
      </c>
      <c r="B49" s="6"/>
      <c r="C49" s="6" t="s">
        <v>318</v>
      </c>
      <c r="D49" s="6" t="s">
        <v>55</v>
      </c>
      <c r="E49" s="6" t="s">
        <v>319</v>
      </c>
      <c r="F49" s="6" t="s">
        <v>37</v>
      </c>
      <c r="G49" s="7"/>
      <c r="H49" s="7"/>
      <c r="I49" s="6"/>
      <c r="J49" s="7"/>
      <c r="K49" s="8" t="n">
        <v>45757</v>
      </c>
      <c r="L49" s="8" t="n">
        <v>45782</v>
      </c>
      <c r="M49" s="8"/>
      <c r="N49" s="8"/>
      <c r="O49" s="8"/>
      <c r="P49" s="8"/>
      <c r="Q49" s="8"/>
      <c r="R49" s="8"/>
      <c r="S49" s="8"/>
      <c r="T49" s="8"/>
      <c r="U49" s="8"/>
      <c r="V49" s="8"/>
      <c r="W49" s="6" t="s">
        <v>243</v>
      </c>
      <c r="X49" s="6"/>
      <c r="Y49" s="6" t="s">
        <v>320</v>
      </c>
      <c r="Z49" s="7"/>
      <c r="AA49" s="6"/>
      <c r="AB49" s="5"/>
      <c r="AC49" s="5"/>
      <c r="AD49" s="6"/>
    </row>
    <row r="50" customFormat="false" ht="30" hidden="false" customHeight="true" outlineLevel="0" collapsed="false">
      <c r="A50" s="9" t="n">
        <v>46</v>
      </c>
      <c r="B50" s="10"/>
      <c r="C50" s="10" t="s">
        <v>321</v>
      </c>
      <c r="D50" s="10" t="s">
        <v>55</v>
      </c>
      <c r="E50" s="10" t="s">
        <v>322</v>
      </c>
      <c r="F50" s="10" t="s">
        <v>37</v>
      </c>
      <c r="G50" s="11"/>
      <c r="H50" s="11"/>
      <c r="I50" s="10"/>
      <c r="J50" s="11"/>
      <c r="K50" s="12" t="n">
        <v>45834</v>
      </c>
      <c r="L50" s="12" t="n">
        <v>45849</v>
      </c>
      <c r="M50" s="12"/>
      <c r="N50" s="12"/>
      <c r="O50" s="12"/>
      <c r="P50" s="12"/>
      <c r="Q50" s="12"/>
      <c r="R50" s="12"/>
      <c r="S50" s="12"/>
      <c r="T50" s="12"/>
      <c r="U50" s="12"/>
      <c r="V50" s="12"/>
      <c r="W50" s="10" t="s">
        <v>243</v>
      </c>
      <c r="X50" s="10"/>
      <c r="Y50" s="10" t="s">
        <v>323</v>
      </c>
      <c r="Z50" s="11"/>
      <c r="AA50" s="10"/>
      <c r="AB50" s="9"/>
      <c r="AC50" s="9"/>
      <c r="AD50" s="10"/>
    </row>
    <row r="51" customFormat="false" ht="30" hidden="false" customHeight="true" outlineLevel="0" collapsed="false">
      <c r="A51" s="5" t="n">
        <v>47</v>
      </c>
      <c r="B51" s="6"/>
      <c r="C51" s="6" t="s">
        <v>324</v>
      </c>
      <c r="D51" s="6" t="s">
        <v>64</v>
      </c>
      <c r="E51" s="6" t="s">
        <v>325</v>
      </c>
      <c r="F51" s="6" t="s">
        <v>37</v>
      </c>
      <c r="G51" s="7"/>
      <c r="H51" s="7"/>
      <c r="I51" s="6"/>
      <c r="J51" s="7"/>
      <c r="K51" s="8" t="n">
        <v>45783</v>
      </c>
      <c r="L51" s="8" t="n">
        <v>45797</v>
      </c>
      <c r="M51" s="8" t="n">
        <v>45826</v>
      </c>
      <c r="N51" s="8"/>
      <c r="O51" s="8"/>
      <c r="P51" s="8"/>
      <c r="Q51" s="8" t="n">
        <v>45848</v>
      </c>
      <c r="R51" s="8" t="n">
        <v>45848</v>
      </c>
      <c r="S51" s="8"/>
      <c r="T51" s="8"/>
      <c r="U51" s="8"/>
      <c r="V51" s="8"/>
      <c r="W51" s="6"/>
      <c r="X51" s="6"/>
      <c r="Y51" s="6" t="s">
        <v>326</v>
      </c>
      <c r="Z51" s="7"/>
      <c r="AA51" s="6"/>
      <c r="AB51" s="5"/>
      <c r="AC51" s="5"/>
      <c r="AD51" s="6"/>
    </row>
    <row r="52" customFormat="false" ht="30" hidden="false" customHeight="true" outlineLevel="0" collapsed="false">
      <c r="A52" s="9" t="n">
        <v>48</v>
      </c>
      <c r="B52" s="10"/>
      <c r="C52" s="10" t="s">
        <v>327</v>
      </c>
      <c r="D52" s="10" t="s">
        <v>55</v>
      </c>
      <c r="E52" s="10" t="s">
        <v>328</v>
      </c>
      <c r="F52" s="10" t="s">
        <v>37</v>
      </c>
      <c r="G52" s="11"/>
      <c r="H52" s="11" t="n">
        <v>2508000000</v>
      </c>
      <c r="I52" s="10"/>
      <c r="J52" s="11"/>
      <c r="K52" s="12" t="n">
        <v>45783</v>
      </c>
      <c r="L52" s="12" t="n">
        <v>45796</v>
      </c>
      <c r="M52" s="12"/>
      <c r="N52" s="12" t="n">
        <v>45846</v>
      </c>
      <c r="O52" s="12"/>
      <c r="P52" s="12"/>
      <c r="Q52" s="12"/>
      <c r="R52" s="12"/>
      <c r="S52" s="12"/>
      <c r="T52" s="12"/>
      <c r="U52" s="12"/>
      <c r="V52" s="12"/>
      <c r="W52" s="10" t="s">
        <v>52</v>
      </c>
      <c r="X52" s="10"/>
      <c r="Y52" s="10" t="s">
        <v>329</v>
      </c>
      <c r="Z52" s="11"/>
      <c r="AA52" s="10"/>
      <c r="AB52" s="9"/>
      <c r="AC52" s="9"/>
      <c r="AD52" s="10"/>
    </row>
    <row r="53" customFormat="false" ht="30" hidden="false" customHeight="true" outlineLevel="0" collapsed="false">
      <c r="A53" s="5" t="n">
        <v>49</v>
      </c>
      <c r="B53" s="6"/>
      <c r="C53" s="6" t="s">
        <v>330</v>
      </c>
      <c r="D53" s="6" t="s">
        <v>118</v>
      </c>
      <c r="E53" s="6" t="s">
        <v>331</v>
      </c>
      <c r="F53" s="6" t="s">
        <v>37</v>
      </c>
      <c r="G53" s="7"/>
      <c r="H53" s="7"/>
      <c r="I53" s="6"/>
      <c r="J53" s="7"/>
      <c r="K53" s="8" t="n">
        <v>45786</v>
      </c>
      <c r="L53" s="8" t="n">
        <v>45791</v>
      </c>
      <c r="M53" s="8"/>
      <c r="N53" s="8" t="n">
        <v>45834</v>
      </c>
      <c r="O53" s="8"/>
      <c r="P53" s="8"/>
      <c r="Q53" s="8" t="n">
        <v>45981</v>
      </c>
      <c r="R53" s="8"/>
      <c r="S53" s="8" t="n">
        <v>45884</v>
      </c>
      <c r="T53" s="8"/>
      <c r="U53" s="8"/>
      <c r="V53" s="8"/>
      <c r="W53" s="6" t="s">
        <v>66</v>
      </c>
      <c r="X53" s="6"/>
      <c r="Y53" s="6" t="s">
        <v>332</v>
      </c>
      <c r="Z53" s="7"/>
      <c r="AA53" s="6"/>
      <c r="AB53" s="5"/>
      <c r="AC53" s="5"/>
      <c r="AD53" s="6"/>
    </row>
    <row r="54" customFormat="false" ht="30" hidden="false" customHeight="true" outlineLevel="0" collapsed="false">
      <c r="A54" s="9" t="n">
        <v>50</v>
      </c>
      <c r="B54" s="10"/>
      <c r="C54" s="10" t="s">
        <v>333</v>
      </c>
      <c r="D54" s="10" t="s">
        <v>35</v>
      </c>
      <c r="E54" s="10" t="s">
        <v>251</v>
      </c>
      <c r="F54" s="10" t="s">
        <v>37</v>
      </c>
      <c r="G54" s="11" t="n">
        <v>11800</v>
      </c>
      <c r="H54" s="11" t="n">
        <v>276120000</v>
      </c>
      <c r="I54" s="10"/>
      <c r="J54" s="11"/>
      <c r="K54" s="12"/>
      <c r="L54" s="12"/>
      <c r="M54" s="12"/>
      <c r="N54" s="12"/>
      <c r="O54" s="12"/>
      <c r="P54" s="12"/>
      <c r="Q54" s="12"/>
      <c r="R54" s="12"/>
      <c r="S54" s="12" t="n">
        <v>45810</v>
      </c>
      <c r="T54" s="12"/>
      <c r="U54" s="12" t="n">
        <v>45810</v>
      </c>
      <c r="V54" s="12"/>
      <c r="W54" s="10" t="s">
        <v>171</v>
      </c>
      <c r="X54" s="10"/>
      <c r="Y54" s="10"/>
      <c r="Z54" s="11"/>
      <c r="AA54" s="10"/>
      <c r="AB54" s="9"/>
      <c r="AC54" s="9"/>
      <c r="AD54" s="10"/>
    </row>
    <row r="55" customFormat="false" ht="30" hidden="false" customHeight="true" outlineLevel="0" collapsed="false">
      <c r="A55" s="5" t="n">
        <v>51</v>
      </c>
      <c r="B55" s="6"/>
      <c r="C55" s="6" t="s">
        <v>334</v>
      </c>
      <c r="D55" s="6" t="s">
        <v>55</v>
      </c>
      <c r="E55" s="6" t="s">
        <v>335</v>
      </c>
      <c r="F55" s="6" t="s">
        <v>37</v>
      </c>
      <c r="G55" s="7"/>
      <c r="H55" s="7"/>
      <c r="I55" s="6"/>
      <c r="J55" s="7"/>
      <c r="K55" s="8" t="n">
        <v>45821</v>
      </c>
      <c r="L55" s="8" t="n">
        <v>45839</v>
      </c>
      <c r="M55" s="8"/>
      <c r="N55" s="8" t="n">
        <v>45881</v>
      </c>
      <c r="O55" s="8"/>
      <c r="P55" s="8"/>
      <c r="Q55" s="8"/>
      <c r="R55" s="8"/>
      <c r="S55" s="8"/>
      <c r="T55" s="8"/>
      <c r="U55" s="8"/>
      <c r="V55" s="8"/>
      <c r="W55" s="6" t="s">
        <v>52</v>
      </c>
      <c r="X55" s="6"/>
      <c r="Y55" s="6" t="s">
        <v>336</v>
      </c>
      <c r="Z55" s="7"/>
      <c r="AA55" s="6"/>
      <c r="AB55" s="5"/>
      <c r="AC55" s="5"/>
      <c r="AD55" s="6"/>
    </row>
    <row r="56" customFormat="false" ht="30" hidden="false" customHeight="true" outlineLevel="0" collapsed="false">
      <c r="A56" s="9" t="n">
        <v>52</v>
      </c>
      <c r="B56" s="10"/>
      <c r="C56" s="10" t="s">
        <v>337</v>
      </c>
      <c r="D56" s="10" t="s">
        <v>35</v>
      </c>
      <c r="E56" s="10" t="s">
        <v>338</v>
      </c>
      <c r="F56" s="10" t="s">
        <v>37</v>
      </c>
      <c r="G56" s="11"/>
      <c r="H56" s="11"/>
      <c r="I56" s="10"/>
      <c r="J56" s="11"/>
      <c r="K56" s="12" t="n">
        <v>45833</v>
      </c>
      <c r="L56" s="12"/>
      <c r="M56" s="12"/>
      <c r="N56" s="12"/>
      <c r="O56" s="12"/>
      <c r="P56" s="12"/>
      <c r="Q56" s="12"/>
      <c r="R56" s="12"/>
      <c r="S56" s="12"/>
      <c r="T56" s="12"/>
      <c r="U56" s="12"/>
      <c r="V56" s="12"/>
      <c r="W56" s="10"/>
      <c r="X56" s="10"/>
      <c r="Y56" s="10"/>
      <c r="Z56" s="11"/>
      <c r="AA56" s="10"/>
      <c r="AB56" s="9"/>
      <c r="AC56" s="9"/>
      <c r="AD56" s="10"/>
    </row>
    <row r="57" customFormat="false" ht="30" hidden="false" customHeight="true" outlineLevel="0" collapsed="false">
      <c r="A57" s="5" t="n">
        <v>53</v>
      </c>
      <c r="B57" s="6"/>
      <c r="C57" s="6" t="s">
        <v>339</v>
      </c>
      <c r="D57" s="6" t="s">
        <v>340</v>
      </c>
      <c r="E57" s="6" t="s">
        <v>341</v>
      </c>
      <c r="F57" s="6" t="s">
        <v>37</v>
      </c>
      <c r="G57" s="7"/>
      <c r="H57" s="7" t="n">
        <v>3000000000</v>
      </c>
      <c r="I57" s="6"/>
      <c r="J57" s="7"/>
      <c r="K57" s="8" t="n">
        <v>45846</v>
      </c>
      <c r="L57" s="8" t="n">
        <v>45846</v>
      </c>
      <c r="M57" s="8"/>
      <c r="N57" s="8" t="n">
        <v>45867</v>
      </c>
      <c r="O57" s="8"/>
      <c r="P57" s="8"/>
      <c r="Q57" s="8"/>
      <c r="R57" s="8"/>
      <c r="S57" s="8" t="n">
        <v>45873</v>
      </c>
      <c r="T57" s="8"/>
      <c r="U57" s="8" t="n">
        <v>45873</v>
      </c>
      <c r="V57" s="8"/>
      <c r="W57" s="6" t="s">
        <v>171</v>
      </c>
      <c r="X57" s="6"/>
      <c r="Y57" s="6"/>
      <c r="Z57" s="7"/>
      <c r="AA57" s="6"/>
      <c r="AB57" s="5"/>
      <c r="AC57" s="5"/>
      <c r="AD57" s="6"/>
    </row>
    <row r="58" customFormat="false" ht="30" hidden="false" customHeight="true" outlineLevel="0" collapsed="false">
      <c r="A58" s="9" t="n">
        <v>54</v>
      </c>
      <c r="B58" s="10"/>
      <c r="C58" s="10" t="s">
        <v>39</v>
      </c>
      <c r="D58" s="10" t="s">
        <v>40</v>
      </c>
      <c r="E58" s="10" t="s">
        <v>41</v>
      </c>
      <c r="F58" s="10" t="s">
        <v>37</v>
      </c>
      <c r="G58" s="11"/>
      <c r="H58" s="11"/>
      <c r="I58" s="10"/>
      <c r="J58" s="11"/>
      <c r="K58" s="12" t="n">
        <v>45846</v>
      </c>
      <c r="L58" s="12" t="n">
        <v>45855</v>
      </c>
      <c r="M58" s="12"/>
      <c r="N58" s="12"/>
      <c r="O58" s="12"/>
      <c r="P58" s="12"/>
      <c r="Q58" s="12" t="n">
        <v>45904</v>
      </c>
      <c r="R58" s="12"/>
      <c r="S58" s="12"/>
      <c r="T58" s="12"/>
      <c r="U58" s="12"/>
      <c r="V58" s="12"/>
      <c r="W58" s="10"/>
      <c r="X58" s="10" t="s">
        <v>342</v>
      </c>
      <c r="Y58" s="10"/>
      <c r="Z58" s="11"/>
      <c r="AA58" s="10"/>
      <c r="AB58" s="9"/>
      <c r="AC58" s="9"/>
      <c r="AD58" s="10"/>
    </row>
    <row r="59" customFormat="false" ht="30" hidden="false" customHeight="true" outlineLevel="0" collapsed="false">
      <c r="A59" s="5" t="n">
        <v>55</v>
      </c>
      <c r="B59" s="6"/>
      <c r="C59" s="6" t="s">
        <v>343</v>
      </c>
      <c r="D59" s="6" t="s">
        <v>344</v>
      </c>
      <c r="E59" s="6" t="s">
        <v>345</v>
      </c>
      <c r="F59" s="6" t="s">
        <v>37</v>
      </c>
      <c r="G59" s="7"/>
      <c r="H59" s="7"/>
      <c r="I59" s="6"/>
      <c r="J59" s="7"/>
      <c r="K59" s="8" t="n">
        <v>45845</v>
      </c>
      <c r="L59" s="8" t="n">
        <v>45845</v>
      </c>
      <c r="M59" s="8"/>
      <c r="N59" s="8" t="n">
        <v>45852</v>
      </c>
      <c r="O59" s="8"/>
      <c r="P59" s="8"/>
      <c r="Q59" s="8"/>
      <c r="R59" s="8"/>
      <c r="S59" s="8"/>
      <c r="T59" s="8"/>
      <c r="U59" s="8"/>
      <c r="V59" s="8"/>
      <c r="W59" s="6"/>
      <c r="X59" s="6"/>
      <c r="Y59" s="6"/>
      <c r="Z59" s="7"/>
      <c r="AA59" s="6"/>
      <c r="AB59" s="5"/>
      <c r="AC59" s="5"/>
      <c r="AD59" s="6"/>
    </row>
    <row r="60" customFormat="false" ht="30" hidden="false" customHeight="true" outlineLevel="0" collapsed="false">
      <c r="A60" s="9" t="n">
        <v>56</v>
      </c>
      <c r="B60" s="10"/>
      <c r="C60" s="10" t="s">
        <v>45</v>
      </c>
      <c r="D60" s="10" t="s">
        <v>46</v>
      </c>
      <c r="E60" s="10" t="s">
        <v>47</v>
      </c>
      <c r="F60" s="10" t="s">
        <v>37</v>
      </c>
      <c r="G60" s="11"/>
      <c r="H60" s="11"/>
      <c r="I60" s="10"/>
      <c r="J60" s="11"/>
      <c r="K60" s="12" t="n">
        <v>45848</v>
      </c>
      <c r="L60" s="12" t="n">
        <v>45861</v>
      </c>
      <c r="M60" s="12"/>
      <c r="N60" s="12"/>
      <c r="O60" s="12"/>
      <c r="P60" s="12"/>
      <c r="Q60" s="12"/>
      <c r="R60" s="12"/>
      <c r="S60" s="12"/>
      <c r="T60" s="12"/>
      <c r="U60" s="12"/>
      <c r="V60" s="12"/>
      <c r="W60" s="10"/>
      <c r="X60" s="10" t="s">
        <v>342</v>
      </c>
      <c r="Y60" s="10" t="s">
        <v>48</v>
      </c>
      <c r="Z60" s="11"/>
      <c r="AA60" s="10"/>
      <c r="AB60" s="9"/>
      <c r="AC60" s="9"/>
      <c r="AD60" s="10"/>
    </row>
    <row r="61" customFormat="false" ht="30" hidden="false" customHeight="true" outlineLevel="0" collapsed="false">
      <c r="A61" s="5" t="n">
        <v>57</v>
      </c>
      <c r="B61" s="6"/>
      <c r="C61" s="6" t="s">
        <v>49</v>
      </c>
      <c r="D61" s="6" t="s">
        <v>50</v>
      </c>
      <c r="E61" s="6" t="s">
        <v>51</v>
      </c>
      <c r="F61" s="6" t="s">
        <v>37</v>
      </c>
      <c r="G61" s="7"/>
      <c r="H61" s="7"/>
      <c r="I61" s="6"/>
      <c r="J61" s="7"/>
      <c r="K61" s="8" t="n">
        <v>45852</v>
      </c>
      <c r="L61" s="8" t="n">
        <v>45861</v>
      </c>
      <c r="M61" s="8"/>
      <c r="N61" s="8"/>
      <c r="O61" s="8"/>
      <c r="P61" s="8"/>
      <c r="Q61" s="8" t="n">
        <v>45915</v>
      </c>
      <c r="R61" s="8"/>
      <c r="S61" s="8"/>
      <c r="T61" s="8"/>
      <c r="U61" s="8"/>
      <c r="V61" s="8"/>
      <c r="W61" s="6"/>
      <c r="X61" s="6" t="s">
        <v>342</v>
      </c>
      <c r="Y61" s="6"/>
      <c r="Z61" s="7"/>
      <c r="AA61" s="6"/>
      <c r="AB61" s="5"/>
      <c r="AC61" s="5"/>
      <c r="AD61" s="6"/>
    </row>
    <row r="62" customFormat="false" ht="30" hidden="false" customHeight="true" outlineLevel="0" collapsed="false">
      <c r="A62" s="9" t="n">
        <v>58</v>
      </c>
      <c r="B62" s="10"/>
      <c r="C62" s="10" t="s">
        <v>346</v>
      </c>
      <c r="D62" s="10" t="s">
        <v>55</v>
      </c>
      <c r="E62" s="10" t="s">
        <v>347</v>
      </c>
      <c r="F62" s="10" t="s">
        <v>37</v>
      </c>
      <c r="G62" s="11"/>
      <c r="H62" s="11"/>
      <c r="I62" s="10"/>
      <c r="J62" s="11"/>
      <c r="K62" s="12" t="n">
        <v>45856</v>
      </c>
      <c r="L62" s="12"/>
      <c r="M62" s="12"/>
      <c r="N62" s="12"/>
      <c r="O62" s="12"/>
      <c r="P62" s="12"/>
      <c r="Q62" s="12"/>
      <c r="R62" s="12"/>
      <c r="S62" s="12"/>
      <c r="T62" s="12"/>
      <c r="U62" s="12"/>
      <c r="V62" s="12"/>
      <c r="W62" s="10" t="s">
        <v>147</v>
      </c>
      <c r="X62" s="10"/>
      <c r="Y62" s="10" t="s">
        <v>348</v>
      </c>
      <c r="Z62" s="11"/>
      <c r="AA62" s="10"/>
      <c r="AB62" s="9"/>
      <c r="AC62" s="9"/>
      <c r="AD62" s="10"/>
    </row>
    <row r="63" customFormat="false" ht="30" hidden="false" customHeight="true" outlineLevel="0" collapsed="false">
      <c r="A63" s="5" t="n">
        <v>59</v>
      </c>
      <c r="B63" s="6"/>
      <c r="C63" s="6" t="s">
        <v>54</v>
      </c>
      <c r="D63" s="6" t="s">
        <v>55</v>
      </c>
      <c r="E63" s="6" t="s">
        <v>56</v>
      </c>
      <c r="F63" s="6" t="s">
        <v>37</v>
      </c>
      <c r="G63" s="7"/>
      <c r="H63" s="7"/>
      <c r="I63" s="6"/>
      <c r="J63" s="7"/>
      <c r="K63" s="8" t="n">
        <v>45868</v>
      </c>
      <c r="L63" s="8" t="n">
        <v>45910</v>
      </c>
      <c r="M63" s="8"/>
      <c r="N63" s="8"/>
      <c r="O63" s="8"/>
      <c r="P63" s="8"/>
      <c r="Q63" s="8" t="n">
        <v>45944</v>
      </c>
      <c r="R63" s="8" t="n">
        <v>45940</v>
      </c>
      <c r="S63" s="8"/>
      <c r="T63" s="8"/>
      <c r="U63" s="8"/>
      <c r="V63" s="8"/>
      <c r="W63" s="6"/>
      <c r="X63" s="6" t="s">
        <v>342</v>
      </c>
      <c r="Y63" s="6" t="s">
        <v>349</v>
      </c>
      <c r="Z63" s="7"/>
      <c r="AA63" s="6"/>
      <c r="AB63" s="5"/>
      <c r="AC63" s="5"/>
      <c r="AD63" s="6"/>
    </row>
    <row r="64" customFormat="false" ht="30" hidden="false" customHeight="true" outlineLevel="0" collapsed="false">
      <c r="A64" s="9" t="n">
        <v>60</v>
      </c>
      <c r="B64" s="10"/>
      <c r="C64" s="10" t="s">
        <v>350</v>
      </c>
      <c r="D64" s="10" t="s">
        <v>55</v>
      </c>
      <c r="E64" s="10" t="s">
        <v>75</v>
      </c>
      <c r="F64" s="10" t="s">
        <v>37</v>
      </c>
      <c r="G64" s="11"/>
      <c r="H64" s="11"/>
      <c r="I64" s="10"/>
      <c r="J64" s="11"/>
      <c r="K64" s="12" t="n">
        <v>45877</v>
      </c>
      <c r="L64" s="12"/>
      <c r="M64" s="12"/>
      <c r="N64" s="12"/>
      <c r="O64" s="12"/>
      <c r="P64" s="12"/>
      <c r="Q64" s="12"/>
      <c r="R64" s="12"/>
      <c r="S64" s="12"/>
      <c r="T64" s="12"/>
      <c r="U64" s="12"/>
      <c r="V64" s="12"/>
      <c r="W64" s="10" t="s">
        <v>147</v>
      </c>
      <c r="X64" s="10"/>
      <c r="Y64" s="10" t="s">
        <v>351</v>
      </c>
      <c r="Z64" s="11"/>
      <c r="AA64" s="10"/>
      <c r="AB64" s="9"/>
      <c r="AC64" s="9"/>
      <c r="AD64" s="10"/>
    </row>
    <row r="65" customFormat="false" ht="30" hidden="false" customHeight="true" outlineLevel="0" collapsed="false">
      <c r="A65" s="5" t="n">
        <v>61</v>
      </c>
      <c r="B65" s="6"/>
      <c r="C65" s="6" t="s">
        <v>59</v>
      </c>
      <c r="D65" s="6" t="s">
        <v>60</v>
      </c>
      <c r="E65" s="6" t="s">
        <v>61</v>
      </c>
      <c r="F65" s="6" t="s">
        <v>37</v>
      </c>
      <c r="G65" s="7"/>
      <c r="H65" s="7"/>
      <c r="I65" s="6"/>
      <c r="J65" s="7"/>
      <c r="K65" s="8" t="n">
        <v>45880</v>
      </c>
      <c r="L65" s="8" t="n">
        <v>45883</v>
      </c>
      <c r="M65" s="8"/>
      <c r="N65" s="8"/>
      <c r="O65" s="8"/>
      <c r="P65" s="8"/>
      <c r="Q65" s="8"/>
      <c r="R65" s="8"/>
      <c r="S65" s="8"/>
      <c r="T65" s="8"/>
      <c r="U65" s="8"/>
      <c r="V65" s="8"/>
      <c r="W65" s="6"/>
      <c r="X65" s="6" t="s">
        <v>342</v>
      </c>
      <c r="Y65" s="6"/>
      <c r="Z65" s="7"/>
      <c r="AA65" s="6"/>
      <c r="AB65" s="5"/>
      <c r="AC65" s="5"/>
      <c r="AD65" s="6"/>
    </row>
    <row r="66" customFormat="false" ht="30" hidden="false" customHeight="true" outlineLevel="0" collapsed="false">
      <c r="A66" s="9" t="n">
        <v>62</v>
      </c>
      <c r="B66" s="10"/>
      <c r="C66" s="10" t="s">
        <v>352</v>
      </c>
      <c r="D66" s="10" t="s">
        <v>353</v>
      </c>
      <c r="E66" s="10" t="s">
        <v>354</v>
      </c>
      <c r="F66" s="10" t="s">
        <v>86</v>
      </c>
      <c r="G66" s="11"/>
      <c r="H66" s="11"/>
      <c r="I66" s="10"/>
      <c r="J66" s="11"/>
      <c r="K66" s="12" t="n">
        <v>45882</v>
      </c>
      <c r="L66" s="12" t="n">
        <v>45887</v>
      </c>
      <c r="M66" s="12"/>
      <c r="N66" s="12"/>
      <c r="O66" s="12"/>
      <c r="P66" s="12"/>
      <c r="Q66" s="12"/>
      <c r="R66" s="12"/>
      <c r="S66" s="12"/>
      <c r="T66" s="12"/>
      <c r="U66" s="12"/>
      <c r="V66" s="12"/>
      <c r="W66" s="10" t="s">
        <v>243</v>
      </c>
      <c r="X66" s="10"/>
      <c r="Y66" s="10" t="s">
        <v>355</v>
      </c>
      <c r="Z66" s="11"/>
      <c r="AA66" s="10"/>
      <c r="AB66" s="9"/>
      <c r="AC66" s="9"/>
      <c r="AD66" s="10"/>
    </row>
    <row r="67" customFormat="false" ht="30" hidden="false" customHeight="true" outlineLevel="0" collapsed="false">
      <c r="A67" s="5" t="n">
        <v>63</v>
      </c>
      <c r="B67" s="6"/>
      <c r="C67" s="6" t="s">
        <v>63</v>
      </c>
      <c r="D67" s="6" t="s">
        <v>64</v>
      </c>
      <c r="E67" s="6" t="s">
        <v>65</v>
      </c>
      <c r="F67" s="6" t="s">
        <v>37</v>
      </c>
      <c r="G67" s="7"/>
      <c r="H67" s="7"/>
      <c r="I67" s="6"/>
      <c r="J67" s="7"/>
      <c r="K67" s="8" t="n">
        <v>45903</v>
      </c>
      <c r="L67" s="8" t="n">
        <v>45888</v>
      </c>
      <c r="M67" s="8"/>
      <c r="N67" s="8"/>
      <c r="O67" s="8"/>
      <c r="P67" s="8"/>
      <c r="Q67" s="8"/>
      <c r="R67" s="8"/>
      <c r="S67" s="8"/>
      <c r="T67" s="8"/>
      <c r="U67" s="8"/>
      <c r="V67" s="8"/>
      <c r="W67" s="6"/>
      <c r="X67" s="6" t="s">
        <v>342</v>
      </c>
      <c r="Y67" s="6"/>
      <c r="Z67" s="7"/>
      <c r="AA67" s="6"/>
      <c r="AB67" s="5"/>
      <c r="AC67" s="5"/>
      <c r="AD67" s="6"/>
    </row>
    <row r="68" customFormat="false" ht="30" hidden="false" customHeight="true" outlineLevel="0" collapsed="false">
      <c r="A68" s="9" t="n">
        <v>64</v>
      </c>
      <c r="B68" s="10"/>
      <c r="C68" s="10" t="s">
        <v>356</v>
      </c>
      <c r="D68" s="10" t="s">
        <v>55</v>
      </c>
      <c r="E68" s="10" t="s">
        <v>357</v>
      </c>
      <c r="F68" s="10" t="s">
        <v>37</v>
      </c>
      <c r="G68" s="11"/>
      <c r="H68" s="11"/>
      <c r="I68" s="10"/>
      <c r="J68" s="11"/>
      <c r="K68" s="12" t="n">
        <v>45911</v>
      </c>
      <c r="L68" s="12"/>
      <c r="M68" s="12"/>
      <c r="N68" s="12"/>
      <c r="O68" s="12"/>
      <c r="P68" s="12"/>
      <c r="Q68" s="12"/>
      <c r="R68" s="12"/>
      <c r="S68" s="12"/>
      <c r="T68" s="12"/>
      <c r="U68" s="12"/>
      <c r="V68" s="12"/>
      <c r="W68" s="10" t="s">
        <v>147</v>
      </c>
      <c r="X68" s="10"/>
      <c r="Y68" s="10" t="s">
        <v>358</v>
      </c>
      <c r="Z68" s="11"/>
      <c r="AA68" s="10"/>
      <c r="AB68" s="9"/>
      <c r="AC68" s="9"/>
      <c r="AD68" s="10"/>
    </row>
    <row r="69" customFormat="false" ht="30" hidden="false" customHeight="true" outlineLevel="0" collapsed="false">
      <c r="A69" s="5" t="n">
        <v>65</v>
      </c>
      <c r="B69" s="6"/>
      <c r="C69" s="6" t="s">
        <v>359</v>
      </c>
      <c r="D69" s="6" t="s">
        <v>55</v>
      </c>
      <c r="E69" s="6" t="s">
        <v>93</v>
      </c>
      <c r="F69" s="6" t="s">
        <v>37</v>
      </c>
      <c r="G69" s="7"/>
      <c r="H69" s="7"/>
      <c r="I69" s="6"/>
      <c r="J69" s="7"/>
      <c r="K69" s="8" t="n">
        <v>45915</v>
      </c>
      <c r="L69" s="8" t="n">
        <v>45922</v>
      </c>
      <c r="M69" s="8"/>
      <c r="N69" s="8"/>
      <c r="O69" s="8"/>
      <c r="P69" s="8"/>
      <c r="Q69" s="8"/>
      <c r="R69" s="8"/>
      <c r="S69" s="8"/>
      <c r="T69" s="8"/>
      <c r="U69" s="8"/>
      <c r="V69" s="8"/>
      <c r="W69" s="6" t="s">
        <v>99</v>
      </c>
      <c r="X69" s="6"/>
      <c r="Y69" s="6" t="s">
        <v>360</v>
      </c>
      <c r="Z69" s="7"/>
      <c r="AA69" s="6"/>
      <c r="AB69" s="5"/>
      <c r="AC69" s="5"/>
      <c r="AD69" s="6"/>
    </row>
    <row r="70" customFormat="false" ht="30" hidden="false" customHeight="true" outlineLevel="0" collapsed="false">
      <c r="A70" s="9" t="n">
        <v>66</v>
      </c>
      <c r="B70" s="10"/>
      <c r="C70" s="10" t="s">
        <v>361</v>
      </c>
      <c r="D70" s="10" t="s">
        <v>362</v>
      </c>
      <c r="E70" s="10" t="s">
        <v>363</v>
      </c>
      <c r="F70" s="10" t="s">
        <v>37</v>
      </c>
      <c r="G70" s="11"/>
      <c r="H70" s="11"/>
      <c r="I70" s="10"/>
      <c r="J70" s="11"/>
      <c r="K70" s="12" t="n">
        <v>45915</v>
      </c>
      <c r="L70" s="12" t="n">
        <v>45915</v>
      </c>
      <c r="M70" s="12"/>
      <c r="N70" s="12"/>
      <c r="O70" s="12"/>
      <c r="P70" s="12"/>
      <c r="Q70" s="12"/>
      <c r="R70" s="12"/>
      <c r="S70" s="12"/>
      <c r="T70" s="12"/>
      <c r="U70" s="12"/>
      <c r="V70" s="12"/>
      <c r="W70" s="10" t="s">
        <v>147</v>
      </c>
      <c r="X70" s="10"/>
      <c r="Y70" s="10" t="s">
        <v>364</v>
      </c>
      <c r="Z70" s="11"/>
      <c r="AA70" s="10"/>
      <c r="AB70" s="9"/>
      <c r="AC70" s="9"/>
      <c r="AD70" s="10"/>
    </row>
    <row r="71" customFormat="false" ht="30" hidden="false" customHeight="true" outlineLevel="0" collapsed="false">
      <c r="A71" s="5" t="n">
        <v>67</v>
      </c>
      <c r="B71" s="6"/>
      <c r="C71" s="6" t="s">
        <v>365</v>
      </c>
      <c r="D71" s="6" t="s">
        <v>55</v>
      </c>
      <c r="E71" s="6" t="s">
        <v>366</v>
      </c>
      <c r="F71" s="6" t="s">
        <v>37</v>
      </c>
      <c r="G71" s="7"/>
      <c r="H71" s="7"/>
      <c r="I71" s="6"/>
      <c r="J71" s="7"/>
      <c r="K71" s="8"/>
      <c r="L71" s="8" t="n">
        <v>45915</v>
      </c>
      <c r="M71" s="8"/>
      <c r="N71" s="8"/>
      <c r="O71" s="8"/>
      <c r="P71" s="8"/>
      <c r="Q71" s="8"/>
      <c r="R71" s="8"/>
      <c r="S71" s="8"/>
      <c r="T71" s="8"/>
      <c r="U71" s="8"/>
      <c r="V71" s="8"/>
      <c r="W71" s="6" t="s">
        <v>243</v>
      </c>
      <c r="X71" s="6"/>
      <c r="Y71" s="6" t="s">
        <v>367</v>
      </c>
      <c r="Z71" s="7"/>
      <c r="AA71" s="6"/>
      <c r="AB71" s="5"/>
      <c r="AC71" s="5"/>
      <c r="AD71" s="6"/>
    </row>
    <row r="72" customFormat="false" ht="30" hidden="false" customHeight="true" outlineLevel="0" collapsed="false">
      <c r="A72" s="9" t="n">
        <v>68</v>
      </c>
      <c r="B72" s="10"/>
      <c r="C72" s="10" t="s">
        <v>368</v>
      </c>
      <c r="D72" s="10" t="s">
        <v>55</v>
      </c>
      <c r="E72" s="10" t="s">
        <v>85</v>
      </c>
      <c r="F72" s="10" t="s">
        <v>37</v>
      </c>
      <c r="G72" s="11"/>
      <c r="H72" s="11"/>
      <c r="I72" s="10"/>
      <c r="J72" s="11"/>
      <c r="K72" s="12" t="n">
        <v>45919</v>
      </c>
      <c r="L72" s="12"/>
      <c r="M72" s="12"/>
      <c r="N72" s="12"/>
      <c r="O72" s="12"/>
      <c r="P72" s="12"/>
      <c r="Q72" s="12"/>
      <c r="R72" s="12"/>
      <c r="S72" s="12"/>
      <c r="T72" s="12"/>
      <c r="U72" s="12"/>
      <c r="V72" s="12"/>
      <c r="W72" s="10" t="s">
        <v>99</v>
      </c>
      <c r="X72" s="10"/>
      <c r="Y72" s="10" t="s">
        <v>369</v>
      </c>
      <c r="Z72" s="11"/>
      <c r="AA72" s="10"/>
      <c r="AB72" s="9"/>
      <c r="AC72" s="9"/>
      <c r="AD72" s="10"/>
    </row>
    <row r="73" customFormat="false" ht="30" hidden="false" customHeight="true" outlineLevel="0" collapsed="false">
      <c r="A73" s="5" t="n">
        <v>69</v>
      </c>
      <c r="B73" s="6"/>
      <c r="C73" s="6" t="s">
        <v>370</v>
      </c>
      <c r="D73" s="6" t="s">
        <v>55</v>
      </c>
      <c r="E73" s="6" t="s">
        <v>95</v>
      </c>
      <c r="F73" s="6" t="s">
        <v>37</v>
      </c>
      <c r="G73" s="7"/>
      <c r="H73" s="7"/>
      <c r="I73" s="6"/>
      <c r="J73" s="7"/>
      <c r="K73" s="8" t="n">
        <v>45925</v>
      </c>
      <c r="L73" s="8"/>
      <c r="M73" s="8"/>
      <c r="N73" s="8"/>
      <c r="O73" s="8"/>
      <c r="P73" s="8"/>
      <c r="Q73" s="8"/>
      <c r="R73" s="8"/>
      <c r="S73" s="8"/>
      <c r="T73" s="8"/>
      <c r="U73" s="8"/>
      <c r="V73" s="8"/>
      <c r="W73" s="6" t="s">
        <v>147</v>
      </c>
      <c r="X73" s="6"/>
      <c r="Y73" s="6" t="s">
        <v>371</v>
      </c>
      <c r="Z73" s="7"/>
      <c r="AA73" s="6"/>
      <c r="AB73" s="5"/>
      <c r="AC73" s="5"/>
      <c r="AD73" s="6"/>
    </row>
    <row r="74" customFormat="false" ht="30" hidden="false" customHeight="true" outlineLevel="0" collapsed="false">
      <c r="A74" s="9" t="n">
        <v>70</v>
      </c>
      <c r="B74" s="10"/>
      <c r="C74" s="10" t="s">
        <v>372</v>
      </c>
      <c r="D74" s="10" t="s">
        <v>55</v>
      </c>
      <c r="E74" s="10" t="s">
        <v>115</v>
      </c>
      <c r="F74" s="10" t="s">
        <v>37</v>
      </c>
      <c r="G74" s="11"/>
      <c r="H74" s="11"/>
      <c r="I74" s="10"/>
      <c r="J74" s="11"/>
      <c r="K74" s="12" t="n">
        <v>45929</v>
      </c>
      <c r="L74" s="12"/>
      <c r="M74" s="12"/>
      <c r="N74" s="12"/>
      <c r="O74" s="12"/>
      <c r="P74" s="12"/>
      <c r="Q74" s="12"/>
      <c r="R74" s="12"/>
      <c r="S74" s="12"/>
      <c r="T74" s="12"/>
      <c r="U74" s="12"/>
      <c r="V74" s="12"/>
      <c r="W74" s="10" t="s">
        <v>147</v>
      </c>
      <c r="X74" s="10"/>
      <c r="Y74" s="10" t="s">
        <v>373</v>
      </c>
      <c r="Z74" s="11"/>
      <c r="AA74" s="10"/>
      <c r="AB74" s="9"/>
      <c r="AC74" s="9"/>
      <c r="AD74" s="10"/>
    </row>
    <row r="75" customFormat="false" ht="30" hidden="false" customHeight="true" outlineLevel="0" collapsed="false">
      <c r="A75" s="5" t="n">
        <v>71</v>
      </c>
      <c r="B75" s="6"/>
      <c r="C75" s="6" t="s">
        <v>69</v>
      </c>
      <c r="D75" s="6" t="s">
        <v>70</v>
      </c>
      <c r="E75" s="6" t="s">
        <v>71</v>
      </c>
      <c r="F75" s="6" t="s">
        <v>72</v>
      </c>
      <c r="G75" s="7"/>
      <c r="H75" s="7"/>
      <c r="I75" s="6"/>
      <c r="J75" s="7"/>
      <c r="K75" s="8" t="n">
        <v>45929</v>
      </c>
      <c r="L75" s="8" t="n">
        <v>45943</v>
      </c>
      <c r="M75" s="8"/>
      <c r="N75" s="8"/>
      <c r="O75" s="8"/>
      <c r="P75" s="8"/>
      <c r="Q75" s="8"/>
      <c r="R75" s="8"/>
      <c r="S75" s="8"/>
      <c r="T75" s="8"/>
      <c r="U75" s="8"/>
      <c r="V75" s="8"/>
      <c r="W75" s="6"/>
      <c r="X75" s="6" t="s">
        <v>342</v>
      </c>
      <c r="Y75" s="6"/>
      <c r="Z75" s="7"/>
      <c r="AA75" s="6"/>
      <c r="AB75" s="5"/>
      <c r="AC75" s="5"/>
      <c r="AD75" s="6"/>
    </row>
    <row r="76" customFormat="false" ht="30" hidden="false" customHeight="true" outlineLevel="0" collapsed="false">
      <c r="A76" s="9" t="n">
        <v>72</v>
      </c>
      <c r="B76" s="10"/>
      <c r="C76" s="10" t="s">
        <v>74</v>
      </c>
      <c r="D76" s="10" t="s">
        <v>55</v>
      </c>
      <c r="E76" s="10" t="s">
        <v>75</v>
      </c>
      <c r="F76" s="10" t="s">
        <v>37</v>
      </c>
      <c r="G76" s="11"/>
      <c r="H76" s="11"/>
      <c r="I76" s="10"/>
      <c r="J76" s="11"/>
      <c r="K76" s="12" t="n">
        <v>45932</v>
      </c>
      <c r="L76" s="12" t="n">
        <v>45960</v>
      </c>
      <c r="M76" s="12"/>
      <c r="N76" s="12"/>
      <c r="O76" s="12"/>
      <c r="P76" s="12"/>
      <c r="Q76" s="12" t="n">
        <v>45986</v>
      </c>
      <c r="R76" s="12" t="n">
        <v>45982</v>
      </c>
      <c r="S76" s="12"/>
      <c r="T76" s="12"/>
      <c r="U76" s="12"/>
      <c r="V76" s="12"/>
      <c r="W76" s="10"/>
      <c r="X76" s="10" t="s">
        <v>342</v>
      </c>
      <c r="Y76" s="10"/>
      <c r="Z76" s="11"/>
      <c r="AA76" s="10"/>
      <c r="AB76" s="9"/>
      <c r="AC76" s="9"/>
      <c r="AD76" s="10"/>
    </row>
    <row r="77" customFormat="false" ht="30" hidden="false" customHeight="true" outlineLevel="0" collapsed="false">
      <c r="A77" s="5" t="n">
        <v>73</v>
      </c>
      <c r="B77" s="6"/>
      <c r="C77" s="6" t="s">
        <v>77</v>
      </c>
      <c r="D77" s="6" t="s">
        <v>55</v>
      </c>
      <c r="E77" s="6" t="s">
        <v>78</v>
      </c>
      <c r="F77" s="6" t="s">
        <v>37</v>
      </c>
      <c r="G77" s="7"/>
      <c r="H77" s="7" t="n">
        <v>3400000000</v>
      </c>
      <c r="I77" s="6"/>
      <c r="J77" s="7"/>
      <c r="K77" s="8" t="n">
        <v>45933</v>
      </c>
      <c r="L77" s="8" t="n">
        <v>45954</v>
      </c>
      <c r="M77" s="8"/>
      <c r="N77" s="8" t="n">
        <v>45996</v>
      </c>
      <c r="O77" s="8" t="n">
        <v>46006</v>
      </c>
      <c r="P77" s="8"/>
      <c r="Q77" s="8"/>
      <c r="R77" s="8"/>
      <c r="S77" s="8" t="n">
        <v>46021</v>
      </c>
      <c r="T77" s="8"/>
      <c r="U77" s="8" t="n">
        <v>46021</v>
      </c>
      <c r="V77" s="8"/>
      <c r="W77" s="6"/>
      <c r="X77" s="6" t="s">
        <v>342</v>
      </c>
      <c r="Y77" s="6"/>
      <c r="Z77" s="7"/>
      <c r="AA77" s="6"/>
      <c r="AB77" s="5"/>
      <c r="AC77" s="5"/>
      <c r="AD77" s="6"/>
    </row>
    <row r="78" customFormat="false" ht="30" hidden="false" customHeight="true" outlineLevel="0" collapsed="false">
      <c r="A78" s="9" t="n">
        <v>74</v>
      </c>
      <c r="B78" s="10"/>
      <c r="C78" s="10" t="s">
        <v>374</v>
      </c>
      <c r="D78" s="10" t="s">
        <v>55</v>
      </c>
      <c r="E78" s="10" t="s">
        <v>375</v>
      </c>
      <c r="F78" s="10" t="s">
        <v>37</v>
      </c>
      <c r="G78" s="11"/>
      <c r="H78" s="11" t="n">
        <v>2864000000</v>
      </c>
      <c r="I78" s="10"/>
      <c r="J78" s="11"/>
      <c r="K78" s="12" t="n">
        <v>45937</v>
      </c>
      <c r="L78" s="12" t="n">
        <v>45964</v>
      </c>
      <c r="M78" s="12"/>
      <c r="N78" s="12" t="n">
        <v>45992</v>
      </c>
      <c r="O78" s="12"/>
      <c r="P78" s="12"/>
      <c r="Q78" s="12"/>
      <c r="R78" s="12"/>
      <c r="S78" s="12" t="n">
        <v>46001</v>
      </c>
      <c r="T78" s="12"/>
      <c r="U78" s="12" t="n">
        <v>46001</v>
      </c>
      <c r="V78" s="12"/>
      <c r="W78" s="10" t="s">
        <v>57</v>
      </c>
      <c r="X78" s="10"/>
      <c r="Y78" s="10"/>
      <c r="Z78" s="11"/>
      <c r="AA78" s="10"/>
      <c r="AB78" s="9"/>
      <c r="AC78" s="9"/>
      <c r="AD78" s="10"/>
    </row>
    <row r="79" customFormat="false" ht="30" hidden="false" customHeight="true" outlineLevel="0" collapsed="false">
      <c r="A79" s="5" t="n">
        <v>75</v>
      </c>
      <c r="B79" s="6"/>
      <c r="C79" s="6" t="s">
        <v>80</v>
      </c>
      <c r="D79" s="6" t="s">
        <v>81</v>
      </c>
      <c r="E79" s="6" t="s">
        <v>82</v>
      </c>
      <c r="F79" s="6" t="s">
        <v>37</v>
      </c>
      <c r="G79" s="7"/>
      <c r="H79" s="7"/>
      <c r="I79" s="6"/>
      <c r="J79" s="7"/>
      <c r="K79" s="8" t="n">
        <v>45944</v>
      </c>
      <c r="L79" s="8" t="n">
        <v>45989</v>
      </c>
      <c r="M79" s="8"/>
      <c r="N79" s="8"/>
      <c r="O79" s="8"/>
      <c r="P79" s="8"/>
      <c r="Q79" s="8"/>
      <c r="R79" s="8"/>
      <c r="S79" s="8"/>
      <c r="T79" s="8"/>
      <c r="U79" s="8"/>
      <c r="V79" s="8"/>
      <c r="W79" s="6"/>
      <c r="X79" s="6" t="s">
        <v>342</v>
      </c>
      <c r="Y79" s="6"/>
      <c r="Z79" s="7"/>
      <c r="AA79" s="6"/>
      <c r="AB79" s="5"/>
      <c r="AC79" s="5"/>
      <c r="AD79" s="6"/>
    </row>
    <row r="80" customFormat="false" ht="30" hidden="false" customHeight="true" outlineLevel="0" collapsed="false">
      <c r="A80" s="9" t="n">
        <v>76</v>
      </c>
      <c r="B80" s="10"/>
      <c r="C80" s="10" t="s">
        <v>376</v>
      </c>
      <c r="D80" s="10" t="s">
        <v>35</v>
      </c>
      <c r="E80" s="10" t="s">
        <v>137</v>
      </c>
      <c r="F80" s="10" t="s">
        <v>37</v>
      </c>
      <c r="G80" s="11"/>
      <c r="H80" s="11"/>
      <c r="I80" s="10"/>
      <c r="J80" s="11"/>
      <c r="K80" s="12"/>
      <c r="L80" s="12"/>
      <c r="M80" s="12"/>
      <c r="N80" s="12"/>
      <c r="O80" s="12"/>
      <c r="P80" s="12"/>
      <c r="Q80" s="12"/>
      <c r="R80" s="12"/>
      <c r="S80" s="12" t="n">
        <v>45960</v>
      </c>
      <c r="T80" s="12"/>
      <c r="U80" s="12"/>
      <c r="V80" s="12"/>
      <c r="W80" s="10"/>
      <c r="X80" s="10"/>
      <c r="Y80" s="10"/>
      <c r="Z80" s="11"/>
      <c r="AA80" s="10"/>
      <c r="AB80" s="9"/>
      <c r="AC80" s="9"/>
      <c r="AD80" s="10"/>
    </row>
    <row r="81" customFormat="false" ht="30" hidden="false" customHeight="true" outlineLevel="0" collapsed="false">
      <c r="A81" s="5" t="n">
        <v>77</v>
      </c>
      <c r="B81" s="6"/>
      <c r="C81" s="6" t="s">
        <v>84</v>
      </c>
      <c r="D81" s="6" t="s">
        <v>55</v>
      </c>
      <c r="E81" s="6" t="s">
        <v>85</v>
      </c>
      <c r="F81" s="6" t="s">
        <v>86</v>
      </c>
      <c r="G81" s="7"/>
      <c r="H81" s="7"/>
      <c r="I81" s="6"/>
      <c r="J81" s="7"/>
      <c r="K81" s="8" t="n">
        <v>45961</v>
      </c>
      <c r="L81" s="8" t="n">
        <v>46003</v>
      </c>
      <c r="M81" s="8"/>
      <c r="N81" s="8"/>
      <c r="O81" s="8"/>
      <c r="P81" s="8"/>
      <c r="Q81" s="8"/>
      <c r="R81" s="8"/>
      <c r="S81" s="8"/>
      <c r="T81" s="8"/>
      <c r="U81" s="8"/>
      <c r="V81" s="8"/>
      <c r="W81" s="6"/>
      <c r="X81" s="6" t="s">
        <v>342</v>
      </c>
      <c r="Y81" s="6"/>
      <c r="Z81" s="7"/>
      <c r="AA81" s="6"/>
      <c r="AB81" s="5"/>
      <c r="AC81" s="5"/>
      <c r="AD81" s="6"/>
    </row>
    <row r="82" customFormat="false" ht="30" hidden="false" customHeight="true" outlineLevel="0" collapsed="false">
      <c r="A82" s="9" t="n">
        <v>78</v>
      </c>
      <c r="B82" s="10"/>
      <c r="C82" s="10" t="s">
        <v>377</v>
      </c>
      <c r="D82" s="10" t="s">
        <v>64</v>
      </c>
      <c r="E82" s="10" t="s">
        <v>106</v>
      </c>
      <c r="F82" s="10" t="s">
        <v>37</v>
      </c>
      <c r="G82" s="11"/>
      <c r="H82" s="11"/>
      <c r="I82" s="10"/>
      <c r="J82" s="11"/>
      <c r="K82" s="12" t="n">
        <v>45967</v>
      </c>
      <c r="L82" s="12" t="n">
        <v>45986</v>
      </c>
      <c r="M82" s="12"/>
      <c r="N82" s="12"/>
      <c r="O82" s="12"/>
      <c r="P82" s="12"/>
      <c r="Q82" s="12"/>
      <c r="R82" s="12"/>
      <c r="S82" s="12"/>
      <c r="T82" s="12"/>
      <c r="U82" s="12"/>
      <c r="V82" s="12"/>
      <c r="W82" s="10"/>
      <c r="X82" s="10"/>
      <c r="Y82" s="10"/>
      <c r="Z82" s="11"/>
      <c r="AA82" s="10"/>
      <c r="AB82" s="9"/>
      <c r="AC82" s="9"/>
      <c r="AD82" s="10"/>
    </row>
    <row r="83" customFormat="false" ht="30" hidden="false" customHeight="true" outlineLevel="0" collapsed="false">
      <c r="A83" s="5" t="n">
        <v>79</v>
      </c>
      <c r="B83" s="6"/>
      <c r="C83" s="6" t="s">
        <v>378</v>
      </c>
      <c r="D83" s="6" t="s">
        <v>35</v>
      </c>
      <c r="E83" s="6" t="s">
        <v>379</v>
      </c>
      <c r="F83" s="6" t="s">
        <v>37</v>
      </c>
      <c r="G83" s="7"/>
      <c r="H83" s="7"/>
      <c r="I83" s="6"/>
      <c r="J83" s="7"/>
      <c r="K83" s="8"/>
      <c r="L83" s="8"/>
      <c r="M83" s="8"/>
      <c r="N83" s="8"/>
      <c r="O83" s="8"/>
      <c r="P83" s="8"/>
      <c r="Q83" s="8"/>
      <c r="R83" s="8"/>
      <c r="S83" s="8" t="n">
        <v>45991</v>
      </c>
      <c r="T83" s="8"/>
      <c r="U83" s="8" t="n">
        <v>45992</v>
      </c>
      <c r="V83" s="8"/>
      <c r="W83" s="6"/>
      <c r="X83" s="6"/>
      <c r="Y83" s="6"/>
      <c r="Z83" s="7"/>
      <c r="AA83" s="6"/>
      <c r="AB83" s="5"/>
      <c r="AC83" s="5"/>
      <c r="AD83" s="6"/>
    </row>
    <row r="84" customFormat="false" ht="30" hidden="false" customHeight="true" outlineLevel="0" collapsed="false">
      <c r="A84" s="9" t="n">
        <v>80</v>
      </c>
      <c r="B84" s="10"/>
      <c r="C84" s="10" t="s">
        <v>87</v>
      </c>
      <c r="D84" s="10" t="s">
        <v>88</v>
      </c>
      <c r="E84" s="10" t="s">
        <v>89</v>
      </c>
      <c r="F84" s="10" t="s">
        <v>37</v>
      </c>
      <c r="G84" s="11"/>
      <c r="H84" s="11"/>
      <c r="I84" s="10"/>
      <c r="J84" s="11"/>
      <c r="K84" s="12" t="n">
        <v>45989</v>
      </c>
      <c r="L84" s="12" t="n">
        <v>45995</v>
      </c>
      <c r="M84" s="12"/>
      <c r="N84" s="12"/>
      <c r="O84" s="12"/>
      <c r="P84" s="12"/>
      <c r="Q84" s="12"/>
      <c r="R84" s="12"/>
      <c r="S84" s="12"/>
      <c r="T84" s="12"/>
      <c r="U84" s="12"/>
      <c r="V84" s="12"/>
      <c r="W84" s="10"/>
      <c r="X84" s="10" t="s">
        <v>342</v>
      </c>
      <c r="Y84" s="10"/>
      <c r="Z84" s="11"/>
      <c r="AA84" s="10"/>
      <c r="AB84" s="9"/>
      <c r="AC84" s="9"/>
      <c r="AD84" s="10"/>
    </row>
    <row r="85" customFormat="false" ht="30" hidden="false" customHeight="true" outlineLevel="0" collapsed="false">
      <c r="A85" s="5" t="n">
        <v>81</v>
      </c>
      <c r="B85" s="6"/>
      <c r="C85" s="6" t="s">
        <v>92</v>
      </c>
      <c r="D85" s="6" t="s">
        <v>55</v>
      </c>
      <c r="E85" s="6" t="s">
        <v>93</v>
      </c>
      <c r="F85" s="6" t="s">
        <v>37</v>
      </c>
      <c r="G85" s="7"/>
      <c r="H85" s="7"/>
      <c r="I85" s="6"/>
      <c r="J85" s="7"/>
      <c r="K85" s="8" t="n">
        <v>45995</v>
      </c>
      <c r="L85" s="8" t="n">
        <v>46000</v>
      </c>
      <c r="M85" s="8"/>
      <c r="N85" s="8"/>
      <c r="O85" s="8"/>
      <c r="P85" s="8"/>
      <c r="Q85" s="8"/>
      <c r="R85" s="8"/>
      <c r="S85" s="8"/>
      <c r="T85" s="8"/>
      <c r="U85" s="8"/>
      <c r="V85" s="8"/>
      <c r="W85" s="6"/>
      <c r="X85" s="6" t="s">
        <v>342</v>
      </c>
      <c r="Y85" s="6"/>
      <c r="Z85" s="7"/>
      <c r="AA85" s="6"/>
      <c r="AB85" s="5"/>
      <c r="AC85" s="5"/>
      <c r="AD85" s="6"/>
    </row>
    <row r="86" customFormat="false" ht="30" hidden="false" customHeight="true" outlineLevel="0" collapsed="false">
      <c r="A86" s="9" t="n">
        <v>82</v>
      </c>
      <c r="B86" s="10"/>
      <c r="C86" s="10" t="s">
        <v>94</v>
      </c>
      <c r="D86" s="10" t="s">
        <v>55</v>
      </c>
      <c r="E86" s="10" t="s">
        <v>95</v>
      </c>
      <c r="F86" s="10" t="s">
        <v>86</v>
      </c>
      <c r="G86" s="11"/>
      <c r="H86" s="11"/>
      <c r="I86" s="10"/>
      <c r="J86" s="11"/>
      <c r="K86" s="12" t="n">
        <v>45996</v>
      </c>
      <c r="L86" s="12"/>
      <c r="M86" s="12"/>
      <c r="N86" s="12"/>
      <c r="O86" s="12"/>
      <c r="P86" s="12"/>
      <c r="Q86" s="12"/>
      <c r="R86" s="12"/>
      <c r="S86" s="12"/>
      <c r="T86" s="12"/>
      <c r="U86" s="12"/>
      <c r="V86" s="12"/>
      <c r="W86" s="10"/>
      <c r="X86" s="10" t="s">
        <v>342</v>
      </c>
      <c r="Y86" s="10"/>
      <c r="Z86" s="11"/>
      <c r="AA86" s="10"/>
      <c r="AB86" s="9"/>
      <c r="AC86" s="9"/>
      <c r="AD86" s="10"/>
    </row>
    <row r="87" customFormat="false" ht="30" hidden="false" customHeight="true" outlineLevel="0" collapsed="false">
      <c r="A87" s="5" t="n">
        <v>83</v>
      </c>
      <c r="B87" s="6"/>
      <c r="C87" s="6" t="s">
        <v>97</v>
      </c>
      <c r="D87" s="6" t="s">
        <v>55</v>
      </c>
      <c r="E87" s="6" t="s">
        <v>98</v>
      </c>
      <c r="F87" s="6" t="s">
        <v>37</v>
      </c>
      <c r="G87" s="7"/>
      <c r="H87" s="7"/>
      <c r="I87" s="6"/>
      <c r="J87" s="7"/>
      <c r="K87" s="8" t="n">
        <v>46014</v>
      </c>
      <c r="L87" s="8"/>
      <c r="M87" s="8"/>
      <c r="N87" s="8"/>
      <c r="O87" s="8"/>
      <c r="P87" s="8"/>
      <c r="Q87" s="8"/>
      <c r="R87" s="8"/>
      <c r="S87" s="8"/>
      <c r="T87" s="8"/>
      <c r="U87" s="8"/>
      <c r="V87" s="8"/>
      <c r="W87" s="6"/>
      <c r="X87" s="6" t="s">
        <v>342</v>
      </c>
      <c r="Y87" s="6"/>
      <c r="Z87" s="7"/>
      <c r="AA87" s="6"/>
      <c r="AB87" s="5"/>
      <c r="AC87" s="5"/>
      <c r="AD87" s="6"/>
    </row>
    <row r="88" customFormat="false" ht="30" hidden="false" customHeight="true" outlineLevel="0" collapsed="false">
      <c r="A88" s="9" t="n">
        <v>84</v>
      </c>
      <c r="B88" s="10"/>
      <c r="C88" s="10" t="s">
        <v>101</v>
      </c>
      <c r="D88" s="10" t="s">
        <v>102</v>
      </c>
      <c r="E88" s="10" t="s">
        <v>103</v>
      </c>
      <c r="F88" s="10" t="s">
        <v>37</v>
      </c>
      <c r="G88" s="11"/>
      <c r="H88" s="11"/>
      <c r="I88" s="10"/>
      <c r="J88" s="11"/>
      <c r="K88" s="12" t="n">
        <v>46020</v>
      </c>
      <c r="L88" s="12"/>
      <c r="M88" s="12"/>
      <c r="N88" s="12"/>
      <c r="O88" s="12"/>
      <c r="P88" s="12"/>
      <c r="Q88" s="12"/>
      <c r="R88" s="12"/>
      <c r="S88" s="12"/>
      <c r="T88" s="12"/>
      <c r="U88" s="12"/>
      <c r="V88" s="12"/>
      <c r="W88" s="10"/>
      <c r="X88" s="10" t="s">
        <v>342</v>
      </c>
      <c r="Y88" s="10"/>
      <c r="Z88" s="11"/>
      <c r="AA88" s="10"/>
      <c r="AB88" s="9"/>
      <c r="AC88" s="9"/>
      <c r="AD88" s="10"/>
    </row>
    <row r="90" customFormat="false" ht="15" hidden="false" customHeight="false" outlineLevel="0" collapsed="false">
      <c r="C90" s="13" t="s">
        <v>161</v>
      </c>
    </row>
    <row r="91" customFormat="false" ht="15" hidden="false" customHeight="false" outlineLevel="0" collapsed="false">
      <c r="A91" s="14"/>
      <c r="C91" s="15" t="s">
        <v>162</v>
      </c>
    </row>
    <row r="92" customFormat="false" ht="15" hidden="false" customHeight="false" outlineLevel="0" collapsed="false">
      <c r="A92" s="16"/>
      <c r="C92" s="15" t="s">
        <v>163</v>
      </c>
    </row>
    <row r="93" customFormat="false" ht="15" hidden="false" customHeight="false" outlineLevel="0" collapsed="false">
      <c r="A93" s="17"/>
      <c r="C93" s="15" t="s">
        <v>164</v>
      </c>
    </row>
    <row r="95" customFormat="false" ht="15" hidden="false" customHeight="false" outlineLevel="0" collapsed="false">
      <c r="C95" s="2" t="s">
        <v>165</v>
      </c>
    </row>
  </sheetData>
  <autoFilter ref="A4:AD88"/>
  <mergeCells count="2">
    <mergeCell ref="K3:V3"/>
    <mergeCell ref="AA3:AC3"/>
  </mergeCells>
  <conditionalFormatting sqref="K5:V88">
    <cfRule type="expression" priority="2" aboveAverage="0" equalAverage="0" bottom="0" percent="0" rank="0" text="" dxfId="5">
      <formula>AND(K5&lt;&gt;"",$W5="",K5&gt;TODAY(),K5&lt;=TODAY()+7)</formula>
    </cfRule>
    <cfRule type="expression" priority="3" aboveAverage="0" equalAverage="0" bottom="0" percent="0" rank="0" text="" dxfId="6">
      <formula>AND(K5&lt;&gt;"",$W5="",K5&gt;TODAY()+7,K5&lt;=TODAY()+14)</formula>
    </cfRule>
    <cfRule type="expression" priority="4" aboveAverage="0" equalAverage="0" bottom="0" percent="0" rank="0" text="" dxfId="7">
      <formula>AND(K5&lt;&gt;"",K5&lt;=TODAY())</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2"/>
    <col collapsed="false" customWidth="true" hidden="false" outlineLevel="0" max="4" min="4" style="0" width="30"/>
    <col collapsed="false" customWidth="true" hidden="false" outlineLevel="0" max="5" min="5" style="0" width="48"/>
    <col collapsed="false" customWidth="true" hidden="false" outlineLevel="0" max="6" min="6" style="0" width="16"/>
    <col collapsed="false" customWidth="true" hidden="false" outlineLevel="0" max="7" min="7" style="0" width="14"/>
    <col collapsed="false" customWidth="true" hidden="false" outlineLevel="0" max="8" min="8" style="0" width="18"/>
    <col collapsed="false" customWidth="true" hidden="false" outlineLevel="0" max="9" min="9" style="0" width="16"/>
    <col collapsed="false" customWidth="true" hidden="false" outlineLevel="0" max="10" min="10" style="0" width="12"/>
    <col collapsed="false" customWidth="true" hidden="false" outlineLevel="0" max="22" min="11" style="0" width="11"/>
    <col collapsed="false" customWidth="true" hidden="false" outlineLevel="0" max="23" min="23" style="0" width="26"/>
    <col collapsed="false" customWidth="true" hidden="false" outlineLevel="0" max="24" min="24" style="0" width="24"/>
    <col collapsed="false" customWidth="true" hidden="false" outlineLevel="0" max="25" min="25" style="0" width="55"/>
    <col collapsed="false" customWidth="true" hidden="false" outlineLevel="0" max="26" min="26" style="0" width="20"/>
    <col collapsed="false" customWidth="true" hidden="false" outlineLevel="0" max="27" min="27" style="0" width="30"/>
    <col collapsed="false" customWidth="true" hidden="false" outlineLevel="0" max="28" min="28" style="0" width="8"/>
    <col collapsed="false" customWidth="true" hidden="false" outlineLevel="0" max="29" min="29" style="0" width="14"/>
    <col collapsed="false" customWidth="true" hidden="false" outlineLevel="0" max="30" min="30" style="0" width="26"/>
  </cols>
  <sheetData>
    <row r="1" customFormat="false" ht="17.35" hidden="false" customHeight="false" outlineLevel="0" collapsed="false">
      <c r="A1" s="1" t="s">
        <v>0</v>
      </c>
    </row>
    <row r="2" customFormat="false" ht="15" hidden="false" customHeight="false" outlineLevel="0" collapsed="false">
      <c r="A2" s="2" t="s">
        <v>380</v>
      </c>
    </row>
    <row r="3" customFormat="false" ht="18" hidden="false" customHeight="true" outlineLevel="0" collapsed="false">
      <c r="A3" s="3"/>
      <c r="B3" s="3"/>
      <c r="C3" s="3"/>
      <c r="D3" s="3"/>
      <c r="E3" s="3"/>
      <c r="F3" s="3"/>
      <c r="G3" s="3"/>
      <c r="H3" s="3"/>
      <c r="I3" s="3"/>
      <c r="J3" s="3"/>
      <c r="K3" s="3" t="s">
        <v>2</v>
      </c>
      <c r="L3" s="3"/>
      <c r="M3" s="3"/>
      <c r="N3" s="3"/>
      <c r="O3" s="3"/>
      <c r="P3" s="3"/>
      <c r="Q3" s="3"/>
      <c r="R3" s="3"/>
      <c r="S3" s="3"/>
      <c r="T3" s="3"/>
      <c r="U3" s="3"/>
      <c r="V3" s="3"/>
      <c r="W3" s="3"/>
      <c r="X3" s="3"/>
      <c r="Y3" s="3"/>
      <c r="Z3" s="3"/>
      <c r="AA3" s="3" t="s">
        <v>3</v>
      </c>
      <c r="AB3" s="3"/>
      <c r="AC3" s="3"/>
      <c r="AD3" s="3"/>
    </row>
    <row r="4" customFormat="false" ht="45.75" hidden="false" customHeight="true" outlineLevel="0" collapsed="false">
      <c r="A4" s="4" t="s">
        <v>4</v>
      </c>
      <c r="B4" s="4" t="s">
        <v>5</v>
      </c>
      <c r="C4" s="4" t="s">
        <v>6</v>
      </c>
      <c r="D4" s="4" t="s">
        <v>7</v>
      </c>
      <c r="E4" s="4" t="s">
        <v>8</v>
      </c>
      <c r="F4" s="4" t="s">
        <v>9</v>
      </c>
      <c r="G4" s="4" t="s">
        <v>10</v>
      </c>
      <c r="H4" s="4" t="s">
        <v>11</v>
      </c>
      <c r="I4" s="4" t="s">
        <v>12</v>
      </c>
      <c r="J4" s="4" t="s">
        <v>13</v>
      </c>
      <c r="K4" s="4" t="s">
        <v>14</v>
      </c>
      <c r="L4" s="4" t="s">
        <v>15</v>
      </c>
      <c r="M4" s="4" t="s">
        <v>16</v>
      </c>
      <c r="N4" s="4" t="s">
        <v>17</v>
      </c>
      <c r="O4" s="4" t="s">
        <v>18</v>
      </c>
      <c r="P4" s="4" t="s">
        <v>19</v>
      </c>
      <c r="Q4" s="4" t="s">
        <v>20</v>
      </c>
      <c r="R4" s="4" t="s">
        <v>21</v>
      </c>
      <c r="S4" s="4" t="s">
        <v>22</v>
      </c>
      <c r="T4" s="4" t="s">
        <v>23</v>
      </c>
      <c r="U4" s="4" t="s">
        <v>24</v>
      </c>
      <c r="V4" s="4" t="s">
        <v>25</v>
      </c>
      <c r="W4" s="4" t="s">
        <v>26</v>
      </c>
      <c r="X4" s="4" t="s">
        <v>27</v>
      </c>
      <c r="Y4" s="4" t="s">
        <v>28</v>
      </c>
      <c r="Z4" s="4" t="s">
        <v>29</v>
      </c>
      <c r="AA4" s="4" t="s">
        <v>30</v>
      </c>
      <c r="AB4" s="4" t="s">
        <v>31</v>
      </c>
      <c r="AC4" s="4" t="s">
        <v>32</v>
      </c>
      <c r="AD4" s="4" t="s">
        <v>33</v>
      </c>
    </row>
    <row r="5" customFormat="false" ht="30" hidden="false" customHeight="true" outlineLevel="0" collapsed="false">
      <c r="A5" s="5" t="n">
        <v>1</v>
      </c>
      <c r="B5" s="6"/>
      <c r="C5" s="6" t="s">
        <v>381</v>
      </c>
      <c r="D5" s="6" t="s">
        <v>382</v>
      </c>
      <c r="E5" s="6" t="s">
        <v>200</v>
      </c>
      <c r="F5" s="6" t="s">
        <v>37</v>
      </c>
      <c r="G5" s="7" t="n">
        <v>7000</v>
      </c>
      <c r="H5" s="7" t="n">
        <v>332500000</v>
      </c>
      <c r="I5" s="6"/>
      <c r="J5" s="7" t="n">
        <v>47500</v>
      </c>
      <c r="K5" s="8" t="n">
        <v>44894</v>
      </c>
      <c r="L5" s="8" t="n">
        <v>44894</v>
      </c>
      <c r="M5" s="8" t="s">
        <v>383</v>
      </c>
      <c r="N5" s="8" t="s">
        <v>383</v>
      </c>
      <c r="O5" s="8"/>
      <c r="P5" s="8"/>
      <c r="Q5" s="8" t="s">
        <v>383</v>
      </c>
      <c r="R5" s="8" t="s">
        <v>383</v>
      </c>
      <c r="S5" s="8" t="n">
        <v>44929</v>
      </c>
      <c r="T5" s="8" t="s">
        <v>383</v>
      </c>
      <c r="U5" s="8" t="n">
        <v>44929</v>
      </c>
      <c r="V5" s="8"/>
      <c r="W5" s="6" t="s">
        <v>171</v>
      </c>
      <c r="X5" s="6"/>
      <c r="Y5" s="6" t="s">
        <v>384</v>
      </c>
      <c r="Z5" s="7" t="n">
        <v>307300000</v>
      </c>
      <c r="AA5" s="6"/>
      <c r="AB5" s="5"/>
      <c r="AC5" s="5"/>
      <c r="AD5" s="6"/>
    </row>
    <row r="6" customFormat="false" ht="30" hidden="false" customHeight="true" outlineLevel="0" collapsed="false">
      <c r="A6" s="9" t="n">
        <v>2</v>
      </c>
      <c r="B6" s="10"/>
      <c r="C6" s="10" t="s">
        <v>385</v>
      </c>
      <c r="D6" s="10" t="s">
        <v>386</v>
      </c>
      <c r="E6" s="10" t="s">
        <v>387</v>
      </c>
      <c r="F6" s="10" t="s">
        <v>37</v>
      </c>
      <c r="G6" s="11"/>
      <c r="H6" s="11" t="n">
        <v>300000000</v>
      </c>
      <c r="I6" s="10"/>
      <c r="J6" s="11"/>
      <c r="K6" s="12" t="n">
        <v>45056</v>
      </c>
      <c r="L6" s="12"/>
      <c r="M6" s="12"/>
      <c r="N6" s="12" t="n">
        <v>45057</v>
      </c>
      <c r="O6" s="12"/>
      <c r="P6" s="12"/>
      <c r="Q6" s="12"/>
      <c r="R6" s="12"/>
      <c r="S6" s="12"/>
      <c r="T6" s="12"/>
      <c r="U6" s="12" t="n">
        <v>45065</v>
      </c>
      <c r="V6" s="12"/>
      <c r="W6" s="10" t="s">
        <v>171</v>
      </c>
      <c r="X6" s="10"/>
      <c r="Y6" s="10"/>
      <c r="Z6" s="11" t="n">
        <v>295440</v>
      </c>
      <c r="AA6" s="10"/>
      <c r="AB6" s="9"/>
      <c r="AC6" s="9"/>
      <c r="AD6" s="10"/>
    </row>
    <row r="7" customFormat="false" ht="30" hidden="false" customHeight="true" outlineLevel="0" collapsed="false">
      <c r="A7" s="5" t="n">
        <v>3</v>
      </c>
      <c r="B7" s="6"/>
      <c r="C7" s="6" t="s">
        <v>388</v>
      </c>
      <c r="D7" s="6" t="s">
        <v>181</v>
      </c>
      <c r="E7" s="6" t="s">
        <v>389</v>
      </c>
      <c r="F7" s="6" t="s">
        <v>37</v>
      </c>
      <c r="G7" s="7"/>
      <c r="H7" s="7" t="n">
        <v>7268720000</v>
      </c>
      <c r="I7" s="6"/>
      <c r="J7" s="7"/>
      <c r="K7" s="8" t="n">
        <v>45109</v>
      </c>
      <c r="L7" s="8" t="n">
        <v>45111</v>
      </c>
      <c r="M7" s="8"/>
      <c r="N7" s="8"/>
      <c r="O7" s="8"/>
      <c r="P7" s="8"/>
      <c r="Q7" s="8"/>
      <c r="R7" s="8"/>
      <c r="S7" s="8"/>
      <c r="T7" s="8"/>
      <c r="U7" s="8" t="n">
        <v>45125</v>
      </c>
      <c r="V7" s="8" t="n">
        <v>45200</v>
      </c>
      <c r="W7" s="6" t="s">
        <v>171</v>
      </c>
      <c r="X7" s="6"/>
      <c r="Y7" s="6"/>
      <c r="Z7" s="7" t="n">
        <v>7113112000</v>
      </c>
      <c r="AA7" s="6"/>
      <c r="AB7" s="5"/>
      <c r="AC7" s="5"/>
      <c r="AD7" s="6"/>
    </row>
    <row r="8" customFormat="false" ht="30" hidden="false" customHeight="true" outlineLevel="0" collapsed="false">
      <c r="A8" s="9" t="n">
        <v>4</v>
      </c>
      <c r="B8" s="10"/>
      <c r="C8" s="10" t="s">
        <v>390</v>
      </c>
      <c r="D8" s="10" t="s">
        <v>391</v>
      </c>
      <c r="E8" s="10" t="s">
        <v>308</v>
      </c>
      <c r="F8" s="10" t="s">
        <v>37</v>
      </c>
      <c r="G8" s="11" t="n">
        <v>70000</v>
      </c>
      <c r="H8" s="11" t="n">
        <v>3325000000</v>
      </c>
      <c r="I8" s="10"/>
      <c r="J8" s="11" t="n">
        <v>47500</v>
      </c>
      <c r="K8" s="12" t="n">
        <v>44956</v>
      </c>
      <c r="L8" s="12" t="n">
        <v>44985</v>
      </c>
      <c r="M8" s="12" t="n">
        <v>45013</v>
      </c>
      <c r="N8" s="12" t="n">
        <v>45093</v>
      </c>
      <c r="O8" s="12"/>
      <c r="P8" s="12"/>
      <c r="Q8" s="12" t="n">
        <v>45026</v>
      </c>
      <c r="R8" s="12" t="n">
        <v>45026</v>
      </c>
      <c r="S8" s="12" t="n">
        <v>45100</v>
      </c>
      <c r="T8" s="12"/>
      <c r="U8" s="12" t="n">
        <v>45100</v>
      </c>
      <c r="V8" s="12"/>
      <c r="W8" s="10" t="s">
        <v>57</v>
      </c>
      <c r="X8" s="10"/>
      <c r="Y8" s="10" t="s">
        <v>392</v>
      </c>
      <c r="Z8" s="11" t="n">
        <v>2894981250</v>
      </c>
      <c r="AA8" s="10"/>
      <c r="AB8" s="9"/>
      <c r="AC8" s="9"/>
      <c r="AD8" s="10"/>
    </row>
    <row r="9" customFormat="false" ht="30" hidden="false" customHeight="true" outlineLevel="0" collapsed="false">
      <c r="A9" s="5" t="n">
        <v>5</v>
      </c>
      <c r="B9" s="6"/>
      <c r="C9" s="6" t="s">
        <v>393</v>
      </c>
      <c r="D9" s="6" t="s">
        <v>394</v>
      </c>
      <c r="E9" s="6" t="s">
        <v>395</v>
      </c>
      <c r="F9" s="6" t="s">
        <v>37</v>
      </c>
      <c r="G9" s="7" t="n">
        <v>223000</v>
      </c>
      <c r="H9" s="7" t="n">
        <v>9366000000</v>
      </c>
      <c r="I9" s="6"/>
      <c r="J9" s="7" t="n">
        <v>42000</v>
      </c>
      <c r="K9" s="8" t="n">
        <v>44958</v>
      </c>
      <c r="L9" s="8" t="n">
        <v>45034</v>
      </c>
      <c r="M9" s="8"/>
      <c r="N9" s="8" t="n">
        <v>45083</v>
      </c>
      <c r="O9" s="8"/>
      <c r="P9" s="8"/>
      <c r="Q9" s="8" t="n">
        <v>45065</v>
      </c>
      <c r="R9" s="8"/>
      <c r="S9" s="8" t="n">
        <v>45090</v>
      </c>
      <c r="T9" s="8"/>
      <c r="U9" s="8" t="n">
        <v>45096</v>
      </c>
      <c r="V9" s="8"/>
      <c r="W9" s="6" t="s">
        <v>57</v>
      </c>
      <c r="X9" s="6"/>
      <c r="Y9" s="6" t="s">
        <v>396</v>
      </c>
      <c r="Z9" s="7" t="n">
        <v>4192400000</v>
      </c>
      <c r="AA9" s="6"/>
      <c r="AB9" s="5"/>
      <c r="AC9" s="5"/>
      <c r="AD9" s="6"/>
    </row>
    <row r="10" customFormat="false" ht="30" hidden="false" customHeight="true" outlineLevel="0" collapsed="false">
      <c r="A10" s="9" t="n">
        <v>6</v>
      </c>
      <c r="B10" s="10"/>
      <c r="C10" s="10" t="s">
        <v>397</v>
      </c>
      <c r="D10" s="10" t="s">
        <v>391</v>
      </c>
      <c r="E10" s="10" t="s">
        <v>200</v>
      </c>
      <c r="F10" s="10" t="s">
        <v>37</v>
      </c>
      <c r="G10" s="11" t="n">
        <v>687000</v>
      </c>
      <c r="H10" s="11" t="n">
        <v>31602000000</v>
      </c>
      <c r="I10" s="10"/>
      <c r="J10" s="11" t="n">
        <v>46000</v>
      </c>
      <c r="K10" s="12" t="n">
        <v>45093</v>
      </c>
      <c r="L10" s="12" t="n">
        <v>45114</v>
      </c>
      <c r="M10" s="12" t="n">
        <v>45120</v>
      </c>
      <c r="N10" s="12" t="n">
        <v>45175</v>
      </c>
      <c r="O10" s="12"/>
      <c r="P10" s="12"/>
      <c r="Q10" s="12" t="n">
        <v>45133</v>
      </c>
      <c r="R10" s="12" t="n">
        <v>45132</v>
      </c>
      <c r="S10" s="12" t="n">
        <v>45183</v>
      </c>
      <c r="T10" s="12"/>
      <c r="U10" s="12" t="n">
        <v>45183</v>
      </c>
      <c r="V10" s="12"/>
      <c r="W10" s="10" t="s">
        <v>57</v>
      </c>
      <c r="X10" s="10"/>
      <c r="Y10" s="10" t="s">
        <v>398</v>
      </c>
      <c r="Z10" s="11"/>
      <c r="AA10" s="10"/>
      <c r="AB10" s="9"/>
      <c r="AC10" s="9"/>
      <c r="AD10" s="10"/>
    </row>
    <row r="11" customFormat="false" ht="30" hidden="false" customHeight="true" outlineLevel="0" collapsed="false">
      <c r="A11" s="5" t="n">
        <v>7</v>
      </c>
      <c r="B11" s="6"/>
      <c r="C11" s="6" t="s">
        <v>399</v>
      </c>
      <c r="D11" s="6" t="s">
        <v>400</v>
      </c>
      <c r="E11" s="6" t="s">
        <v>169</v>
      </c>
      <c r="F11" s="6" t="s">
        <v>37</v>
      </c>
      <c r="G11" s="7"/>
      <c r="H11" s="7" t="n">
        <v>36825552304</v>
      </c>
      <c r="I11" s="6"/>
      <c r="J11" s="7"/>
      <c r="K11" s="8" t="s">
        <v>383</v>
      </c>
      <c r="L11" s="8" t="s">
        <v>383</v>
      </c>
      <c r="M11" s="8" t="s">
        <v>383</v>
      </c>
      <c r="N11" s="8" t="n">
        <v>44973</v>
      </c>
      <c r="O11" s="8"/>
      <c r="P11" s="8"/>
      <c r="Q11" s="8" t="s">
        <v>383</v>
      </c>
      <c r="R11" s="8" t="s">
        <v>383</v>
      </c>
      <c r="S11" s="8" t="n">
        <v>44985</v>
      </c>
      <c r="T11" s="8"/>
      <c r="U11" s="8"/>
      <c r="V11" s="8"/>
      <c r="W11" s="6" t="s">
        <v>90</v>
      </c>
      <c r="X11" s="6"/>
      <c r="Y11" s="6" t="s">
        <v>401</v>
      </c>
      <c r="Z11" s="7" t="n">
        <v>33007037758</v>
      </c>
      <c r="AA11" s="6"/>
      <c r="AB11" s="5"/>
      <c r="AC11" s="5"/>
      <c r="AD11" s="6"/>
    </row>
    <row r="12" customFormat="false" ht="30" hidden="false" customHeight="true" outlineLevel="0" collapsed="false">
      <c r="A12" s="9" t="n">
        <v>8</v>
      </c>
      <c r="B12" s="10"/>
      <c r="C12" s="10" t="s">
        <v>402</v>
      </c>
      <c r="D12" s="10" t="s">
        <v>403</v>
      </c>
      <c r="E12" s="10" t="s">
        <v>404</v>
      </c>
      <c r="F12" s="10" t="s">
        <v>37</v>
      </c>
      <c r="G12" s="11"/>
      <c r="H12" s="11"/>
      <c r="I12" s="10"/>
      <c r="J12" s="11"/>
      <c r="K12" s="12" t="n">
        <v>44945</v>
      </c>
      <c r="L12" s="12" t="n">
        <v>44963</v>
      </c>
      <c r="M12" s="12" t="n">
        <v>44971</v>
      </c>
      <c r="N12" s="12" t="n">
        <v>44959</v>
      </c>
      <c r="O12" s="12"/>
      <c r="P12" s="12"/>
      <c r="Q12" s="12" t="n">
        <v>44999</v>
      </c>
      <c r="R12" s="12" t="s">
        <v>383</v>
      </c>
      <c r="S12" s="12"/>
      <c r="T12" s="12"/>
      <c r="U12" s="12"/>
      <c r="V12" s="12"/>
      <c r="W12" s="10" t="s">
        <v>90</v>
      </c>
      <c r="X12" s="10"/>
      <c r="Y12" s="10" t="s">
        <v>405</v>
      </c>
      <c r="Z12" s="11"/>
      <c r="AA12" s="10"/>
      <c r="AB12" s="9"/>
      <c r="AC12" s="9"/>
      <c r="AD12" s="10"/>
    </row>
    <row r="13" customFormat="false" ht="30" hidden="false" customHeight="true" outlineLevel="0" collapsed="false">
      <c r="A13" s="5" t="n">
        <v>9</v>
      </c>
      <c r="B13" s="6"/>
      <c r="C13" s="6" t="s">
        <v>406</v>
      </c>
      <c r="D13" s="6" t="s">
        <v>407</v>
      </c>
      <c r="E13" s="6" t="s">
        <v>169</v>
      </c>
      <c r="F13" s="6" t="s">
        <v>37</v>
      </c>
      <c r="G13" s="7"/>
      <c r="H13" s="7" t="n">
        <v>48400000000</v>
      </c>
      <c r="I13" s="6"/>
      <c r="J13" s="7"/>
      <c r="K13" s="8" t="n">
        <v>44813</v>
      </c>
      <c r="L13" s="8" t="n">
        <v>44831</v>
      </c>
      <c r="M13" s="8" t="n">
        <v>44957</v>
      </c>
      <c r="N13" s="8" t="n">
        <v>44952</v>
      </c>
      <c r="O13" s="8"/>
      <c r="P13" s="8"/>
      <c r="Q13" s="8" t="n">
        <v>44978</v>
      </c>
      <c r="R13" s="8" t="s">
        <v>383</v>
      </c>
      <c r="S13" s="8" t="n">
        <v>44979</v>
      </c>
      <c r="T13" s="8"/>
      <c r="U13" s="8" t="n">
        <v>44979</v>
      </c>
      <c r="V13" s="8"/>
      <c r="W13" s="6" t="s">
        <v>90</v>
      </c>
      <c r="X13" s="6"/>
      <c r="Y13" s="6" t="s">
        <v>408</v>
      </c>
      <c r="Z13" s="7" t="n">
        <v>42895748682</v>
      </c>
      <c r="AA13" s="6"/>
      <c r="AB13" s="5"/>
      <c r="AC13" s="5"/>
      <c r="AD13" s="6"/>
    </row>
    <row r="14" customFormat="false" ht="30" hidden="false" customHeight="true" outlineLevel="0" collapsed="false">
      <c r="A14" s="9" t="n">
        <v>10</v>
      </c>
      <c r="B14" s="10"/>
      <c r="C14" s="10" t="s">
        <v>409</v>
      </c>
      <c r="D14" s="10" t="s">
        <v>410</v>
      </c>
      <c r="E14" s="10" t="s">
        <v>206</v>
      </c>
      <c r="F14" s="10" t="s">
        <v>37</v>
      </c>
      <c r="G14" s="11"/>
      <c r="H14" s="11" t="n">
        <v>1124336</v>
      </c>
      <c r="I14" s="10"/>
      <c r="J14" s="11"/>
      <c r="K14" s="12" t="n">
        <v>45000</v>
      </c>
      <c r="L14" s="12" t="n">
        <v>45008</v>
      </c>
      <c r="M14" s="12"/>
      <c r="N14" s="12" t="n">
        <v>45058</v>
      </c>
      <c r="O14" s="12"/>
      <c r="P14" s="12"/>
      <c r="Q14" s="12" t="n">
        <v>45077</v>
      </c>
      <c r="R14" s="12"/>
      <c r="S14" s="12" t="n">
        <v>45077</v>
      </c>
      <c r="T14" s="12"/>
      <c r="U14" s="12" t="n">
        <v>45082</v>
      </c>
      <c r="V14" s="12"/>
      <c r="W14" s="10" t="s">
        <v>90</v>
      </c>
      <c r="X14" s="10"/>
      <c r="Y14" s="10" t="s">
        <v>411</v>
      </c>
      <c r="Z14" s="11" t="n">
        <v>1116941.7</v>
      </c>
      <c r="AA14" s="10"/>
      <c r="AB14" s="9"/>
      <c r="AC14" s="9"/>
      <c r="AD14" s="10"/>
    </row>
    <row r="15" customFormat="false" ht="30" hidden="false" customHeight="true" outlineLevel="0" collapsed="false">
      <c r="A15" s="5" t="n">
        <v>11</v>
      </c>
      <c r="B15" s="6"/>
      <c r="C15" s="6" t="s">
        <v>412</v>
      </c>
      <c r="D15" s="6" t="s">
        <v>413</v>
      </c>
      <c r="E15" s="6" t="s">
        <v>414</v>
      </c>
      <c r="F15" s="6" t="s">
        <v>37</v>
      </c>
      <c r="G15" s="7"/>
      <c r="H15" s="7"/>
      <c r="I15" s="6"/>
      <c r="J15" s="7"/>
      <c r="K15" s="8" t="n">
        <v>45016</v>
      </c>
      <c r="L15" s="8" t="n">
        <v>45016</v>
      </c>
      <c r="M15" s="8"/>
      <c r="N15" s="8"/>
      <c r="O15" s="8"/>
      <c r="P15" s="8"/>
      <c r="Q15" s="8"/>
      <c r="R15" s="8"/>
      <c r="S15" s="8"/>
      <c r="T15" s="8"/>
      <c r="U15" s="8"/>
      <c r="V15" s="8"/>
      <c r="W15" s="6" t="s">
        <v>243</v>
      </c>
      <c r="X15" s="6"/>
      <c r="Y15" s="6" t="s">
        <v>415</v>
      </c>
      <c r="Z15" s="7"/>
      <c r="AA15" s="6"/>
      <c r="AB15" s="5"/>
      <c r="AC15" s="5"/>
      <c r="AD15" s="6"/>
    </row>
    <row r="16" customFormat="false" ht="30" hidden="false" customHeight="true" outlineLevel="0" collapsed="false">
      <c r="A16" s="9" t="n">
        <v>12</v>
      </c>
      <c r="B16" s="10"/>
      <c r="C16" s="10" t="s">
        <v>416</v>
      </c>
      <c r="D16" s="10" t="s">
        <v>403</v>
      </c>
      <c r="E16" s="10" t="s">
        <v>404</v>
      </c>
      <c r="F16" s="10" t="s">
        <v>37</v>
      </c>
      <c r="G16" s="11"/>
      <c r="H16" s="11"/>
      <c r="I16" s="10"/>
      <c r="J16" s="11"/>
      <c r="K16" s="12" t="n">
        <v>45072</v>
      </c>
      <c r="L16" s="12"/>
      <c r="M16" s="12"/>
      <c r="N16" s="12"/>
      <c r="O16" s="12"/>
      <c r="P16" s="12"/>
      <c r="Q16" s="12"/>
      <c r="R16" s="12"/>
      <c r="S16" s="12"/>
      <c r="T16" s="12"/>
      <c r="U16" s="12"/>
      <c r="V16" s="12"/>
      <c r="W16" s="10" t="s">
        <v>243</v>
      </c>
      <c r="X16" s="10"/>
      <c r="Y16" s="10" t="s">
        <v>417</v>
      </c>
      <c r="Z16" s="11"/>
      <c r="AA16" s="10"/>
      <c r="AB16" s="9"/>
      <c r="AC16" s="9"/>
      <c r="AD16" s="10"/>
    </row>
    <row r="17" customFormat="false" ht="30" hidden="false" customHeight="true" outlineLevel="0" collapsed="false">
      <c r="A17" s="5" t="n">
        <v>13</v>
      </c>
      <c r="B17" s="6"/>
      <c r="C17" s="6" t="s">
        <v>418</v>
      </c>
      <c r="D17" s="6" t="s">
        <v>394</v>
      </c>
      <c r="E17" s="6" t="s">
        <v>419</v>
      </c>
      <c r="F17" s="6" t="s">
        <v>37</v>
      </c>
      <c r="G17" s="7"/>
      <c r="H17" s="7"/>
      <c r="I17" s="6"/>
      <c r="J17" s="7"/>
      <c r="K17" s="8" t="n">
        <v>44958</v>
      </c>
      <c r="L17" s="8" t="n">
        <v>45208</v>
      </c>
      <c r="M17" s="8"/>
      <c r="N17" s="8"/>
      <c r="O17" s="8"/>
      <c r="P17" s="8"/>
      <c r="Q17" s="8"/>
      <c r="R17" s="8"/>
      <c r="S17" s="8"/>
      <c r="T17" s="8"/>
      <c r="U17" s="8"/>
      <c r="V17" s="8"/>
      <c r="W17" s="6" t="s">
        <v>243</v>
      </c>
      <c r="X17" s="6"/>
      <c r="Y17" s="6" t="s">
        <v>420</v>
      </c>
      <c r="Z17" s="7"/>
      <c r="AA17" s="6"/>
      <c r="AB17" s="5"/>
      <c r="AC17" s="5"/>
      <c r="AD17" s="6"/>
    </row>
    <row r="18" customFormat="false" ht="30" hidden="false" customHeight="true" outlineLevel="0" collapsed="false">
      <c r="A18" s="9" t="n">
        <v>14</v>
      </c>
      <c r="B18" s="10"/>
      <c r="C18" s="10" t="s">
        <v>421</v>
      </c>
      <c r="D18" s="10" t="s">
        <v>422</v>
      </c>
      <c r="E18" s="10" t="s">
        <v>423</v>
      </c>
      <c r="F18" s="10" t="s">
        <v>37</v>
      </c>
      <c r="G18" s="11"/>
      <c r="H18" s="11"/>
      <c r="I18" s="10"/>
      <c r="J18" s="11"/>
      <c r="K18" s="12" t="n">
        <v>45021</v>
      </c>
      <c r="L18" s="12" t="n">
        <v>45049</v>
      </c>
      <c r="M18" s="12"/>
      <c r="N18" s="12" t="n">
        <v>45083</v>
      </c>
      <c r="O18" s="12"/>
      <c r="P18" s="12"/>
      <c r="Q18" s="12" t="n">
        <v>45100</v>
      </c>
      <c r="R18" s="12" t="n">
        <v>45100</v>
      </c>
      <c r="S18" s="12"/>
      <c r="T18" s="12"/>
      <c r="U18" s="12"/>
      <c r="V18" s="12"/>
      <c r="W18" s="10" t="s">
        <v>243</v>
      </c>
      <c r="X18" s="10"/>
      <c r="Y18" s="10" t="s">
        <v>417</v>
      </c>
      <c r="Z18" s="11"/>
      <c r="AA18" s="10"/>
      <c r="AB18" s="9"/>
      <c r="AC18" s="9"/>
      <c r="AD18" s="10"/>
    </row>
    <row r="19" customFormat="false" ht="30" hidden="false" customHeight="true" outlineLevel="0" collapsed="false">
      <c r="A19" s="5" t="n">
        <v>15</v>
      </c>
      <c r="B19" s="6"/>
      <c r="C19" s="6" t="s">
        <v>424</v>
      </c>
      <c r="D19" s="6" t="s">
        <v>425</v>
      </c>
      <c r="E19" s="6" t="s">
        <v>121</v>
      </c>
      <c r="F19" s="6" t="s">
        <v>37</v>
      </c>
      <c r="G19" s="7"/>
      <c r="H19" s="7"/>
      <c r="I19" s="6"/>
      <c r="J19" s="7"/>
      <c r="K19" s="8" t="n">
        <v>45083</v>
      </c>
      <c r="L19" s="8" t="n">
        <v>45085</v>
      </c>
      <c r="M19" s="8"/>
      <c r="N19" s="8"/>
      <c r="O19" s="8"/>
      <c r="P19" s="8"/>
      <c r="Q19" s="8"/>
      <c r="R19" s="8"/>
      <c r="S19" s="8"/>
      <c r="T19" s="8"/>
      <c r="U19" s="8"/>
      <c r="V19" s="8"/>
      <c r="W19" s="6" t="s">
        <v>243</v>
      </c>
      <c r="X19" s="6"/>
      <c r="Y19" s="6" t="s">
        <v>417</v>
      </c>
      <c r="Z19" s="7"/>
      <c r="AA19" s="6"/>
      <c r="AB19" s="5"/>
      <c r="AC19" s="5"/>
      <c r="AD19" s="6"/>
    </row>
    <row r="20" customFormat="false" ht="30" hidden="false" customHeight="true" outlineLevel="0" collapsed="false">
      <c r="A20" s="9" t="n">
        <v>16</v>
      </c>
      <c r="B20" s="10"/>
      <c r="C20" s="10" t="s">
        <v>426</v>
      </c>
      <c r="D20" s="10" t="s">
        <v>427</v>
      </c>
      <c r="E20" s="10" t="s">
        <v>428</v>
      </c>
      <c r="F20" s="10" t="s">
        <v>37</v>
      </c>
      <c r="G20" s="11"/>
      <c r="H20" s="11"/>
      <c r="I20" s="10"/>
      <c r="J20" s="11"/>
      <c r="K20" s="12" t="n">
        <v>45105</v>
      </c>
      <c r="L20" s="12" t="n">
        <v>45131</v>
      </c>
      <c r="M20" s="12"/>
      <c r="N20" s="12"/>
      <c r="O20" s="12"/>
      <c r="P20" s="12"/>
      <c r="Q20" s="12"/>
      <c r="R20" s="12"/>
      <c r="S20" s="12"/>
      <c r="T20" s="12"/>
      <c r="U20" s="12"/>
      <c r="V20" s="12"/>
      <c r="W20" s="10" t="s">
        <v>243</v>
      </c>
      <c r="X20" s="10"/>
      <c r="Y20" s="10" t="s">
        <v>429</v>
      </c>
      <c r="Z20" s="11"/>
      <c r="AA20" s="10"/>
      <c r="AB20" s="9"/>
      <c r="AC20" s="9"/>
      <c r="AD20" s="10"/>
    </row>
    <row r="21" customFormat="false" ht="30" hidden="false" customHeight="true" outlineLevel="0" collapsed="false">
      <c r="A21" s="5" t="n">
        <v>17</v>
      </c>
      <c r="B21" s="6"/>
      <c r="C21" s="6" t="s">
        <v>430</v>
      </c>
      <c r="D21" s="6" t="s">
        <v>431</v>
      </c>
      <c r="E21" s="6" t="s">
        <v>432</v>
      </c>
      <c r="F21" s="6" t="s">
        <v>37</v>
      </c>
      <c r="G21" s="7"/>
      <c r="H21" s="7"/>
      <c r="I21" s="6"/>
      <c r="J21" s="7"/>
      <c r="K21" s="8" t="n">
        <v>45180</v>
      </c>
      <c r="L21" s="8" t="n">
        <v>45205</v>
      </c>
      <c r="M21" s="8"/>
      <c r="N21" s="8"/>
      <c r="O21" s="8"/>
      <c r="P21" s="8"/>
      <c r="Q21" s="8"/>
      <c r="R21" s="8"/>
      <c r="S21" s="8"/>
      <c r="T21" s="8"/>
      <c r="U21" s="8"/>
      <c r="V21" s="8"/>
      <c r="W21" s="6" t="s">
        <v>243</v>
      </c>
      <c r="X21" s="6"/>
      <c r="Y21" s="6" t="s">
        <v>433</v>
      </c>
      <c r="Z21" s="7"/>
      <c r="AA21" s="6"/>
      <c r="AB21" s="5"/>
      <c r="AC21" s="5"/>
      <c r="AD21" s="6"/>
    </row>
    <row r="22" customFormat="false" ht="30" hidden="false" customHeight="true" outlineLevel="0" collapsed="false">
      <c r="A22" s="9" t="n">
        <v>18</v>
      </c>
      <c r="B22" s="10"/>
      <c r="C22" s="10" t="s">
        <v>434</v>
      </c>
      <c r="D22" s="10" t="s">
        <v>181</v>
      </c>
      <c r="E22" s="10" t="s">
        <v>435</v>
      </c>
      <c r="F22" s="10" t="s">
        <v>37</v>
      </c>
      <c r="G22" s="11"/>
      <c r="H22" s="11"/>
      <c r="I22" s="10"/>
      <c r="J22" s="11"/>
      <c r="K22" s="12" t="n">
        <v>45083</v>
      </c>
      <c r="L22" s="12" t="n">
        <v>45132</v>
      </c>
      <c r="M22" s="12"/>
      <c r="N22" s="12" t="n">
        <v>45111</v>
      </c>
      <c r="O22" s="12"/>
      <c r="P22" s="12"/>
      <c r="Q22" s="12" t="n">
        <v>45132</v>
      </c>
      <c r="R22" s="12"/>
      <c r="S22" s="12"/>
      <c r="T22" s="12"/>
      <c r="U22" s="12"/>
      <c r="V22" s="12"/>
      <c r="W22" s="10" t="s">
        <v>52</v>
      </c>
      <c r="X22" s="10"/>
      <c r="Y22" s="10" t="s">
        <v>436</v>
      </c>
      <c r="Z22" s="11"/>
      <c r="AA22" s="10"/>
      <c r="AB22" s="9"/>
      <c r="AC22" s="9"/>
      <c r="AD22" s="10"/>
    </row>
    <row r="23" customFormat="false" ht="30" hidden="false" customHeight="true" outlineLevel="0" collapsed="false">
      <c r="A23" s="5" t="n">
        <v>19</v>
      </c>
      <c r="B23" s="6"/>
      <c r="C23" s="6" t="s">
        <v>437</v>
      </c>
      <c r="D23" s="6" t="s">
        <v>438</v>
      </c>
      <c r="E23" s="6" t="s">
        <v>439</v>
      </c>
      <c r="F23" s="6" t="s">
        <v>37</v>
      </c>
      <c r="G23" s="7"/>
      <c r="H23" s="7" t="n">
        <v>99396066242</v>
      </c>
      <c r="I23" s="6"/>
      <c r="J23" s="7"/>
      <c r="K23" s="8" t="n">
        <v>45091</v>
      </c>
      <c r="L23" s="8" t="n">
        <v>45098</v>
      </c>
      <c r="M23" s="8" t="n">
        <v>45195</v>
      </c>
      <c r="N23" s="8" t="n">
        <v>45195</v>
      </c>
      <c r="O23" s="8"/>
      <c r="P23" s="8"/>
      <c r="Q23" s="8" t="n">
        <v>45243</v>
      </c>
      <c r="R23" s="8"/>
      <c r="S23" s="8" t="n">
        <v>45244</v>
      </c>
      <c r="T23" s="8"/>
      <c r="U23" s="8"/>
      <c r="V23" s="8"/>
      <c r="W23" s="6" t="s">
        <v>52</v>
      </c>
      <c r="X23" s="6"/>
      <c r="Y23" s="6" t="s">
        <v>440</v>
      </c>
      <c r="Z23" s="7"/>
      <c r="AA23" s="6"/>
      <c r="AB23" s="5"/>
      <c r="AC23" s="5"/>
      <c r="AD23" s="6"/>
    </row>
    <row r="24" customFormat="false" ht="30" hidden="false" customHeight="true" outlineLevel="0" collapsed="false">
      <c r="A24" s="9" t="n">
        <v>20</v>
      </c>
      <c r="B24" s="10"/>
      <c r="C24" s="10" t="s">
        <v>441</v>
      </c>
      <c r="D24" s="10" t="s">
        <v>442</v>
      </c>
      <c r="E24" s="10" t="s">
        <v>443</v>
      </c>
      <c r="F24" s="10" t="s">
        <v>444</v>
      </c>
      <c r="G24" s="11"/>
      <c r="H24" s="11"/>
      <c r="I24" s="10"/>
      <c r="J24" s="11"/>
      <c r="K24" s="12" t="n">
        <v>44931</v>
      </c>
      <c r="L24" s="12" t="n">
        <v>45148</v>
      </c>
      <c r="M24" s="12" t="n">
        <v>45239</v>
      </c>
      <c r="N24" s="12"/>
      <c r="O24" s="12"/>
      <c r="P24" s="12"/>
      <c r="Q24" s="12"/>
      <c r="R24" s="12"/>
      <c r="S24" s="12"/>
      <c r="T24" s="12"/>
      <c r="U24" s="12"/>
      <c r="V24" s="12"/>
      <c r="W24" s="10"/>
      <c r="X24" s="10"/>
      <c r="Y24" s="10" t="s">
        <v>445</v>
      </c>
      <c r="Z24" s="11"/>
      <c r="AA24" s="10"/>
      <c r="AB24" s="19" t="b">
        <f aca="false">FALSE()</f>
        <v>0</v>
      </c>
      <c r="AC24" s="19" t="b">
        <f aca="false">FALSE()</f>
        <v>0</v>
      </c>
      <c r="AD24" s="10"/>
    </row>
    <row r="25" customFormat="false" ht="30" hidden="false" customHeight="true" outlineLevel="0" collapsed="false">
      <c r="A25" s="5" t="n">
        <v>21</v>
      </c>
      <c r="B25" s="6"/>
      <c r="C25" s="6" t="s">
        <v>446</v>
      </c>
      <c r="D25" s="6" t="s">
        <v>391</v>
      </c>
      <c r="E25" s="6" t="s">
        <v>187</v>
      </c>
      <c r="F25" s="6" t="s">
        <v>37</v>
      </c>
      <c r="G25" s="7"/>
      <c r="H25" s="7"/>
      <c r="I25" s="6"/>
      <c r="J25" s="7"/>
      <c r="K25" s="8" t="n">
        <v>45077</v>
      </c>
      <c r="L25" s="8"/>
      <c r="M25" s="8"/>
      <c r="N25" s="8"/>
      <c r="O25" s="8"/>
      <c r="P25" s="8"/>
      <c r="Q25" s="8"/>
      <c r="R25" s="8"/>
      <c r="S25" s="8"/>
      <c r="T25" s="8"/>
      <c r="U25" s="8"/>
      <c r="V25" s="8"/>
      <c r="W25" s="6"/>
      <c r="X25" s="6"/>
      <c r="Y25" s="6"/>
      <c r="Z25" s="7"/>
      <c r="AA25" s="6"/>
      <c r="AB25" s="18" t="b">
        <f aca="false">FALSE()</f>
        <v>0</v>
      </c>
      <c r="AC25" s="18" t="b">
        <f aca="false">FALSE()</f>
        <v>0</v>
      </c>
      <c r="AD25" s="6" t="s">
        <v>447</v>
      </c>
    </row>
    <row r="26" customFormat="false" ht="30" hidden="false" customHeight="true" outlineLevel="0" collapsed="false">
      <c r="A26" s="9" t="n">
        <v>22</v>
      </c>
      <c r="B26" s="10"/>
      <c r="C26" s="10" t="s">
        <v>167</v>
      </c>
      <c r="D26" s="10" t="s">
        <v>448</v>
      </c>
      <c r="E26" s="10" t="s">
        <v>169</v>
      </c>
      <c r="F26" s="10" t="s">
        <v>37</v>
      </c>
      <c r="G26" s="11"/>
      <c r="H26" s="11"/>
      <c r="I26" s="10" t="s">
        <v>170</v>
      </c>
      <c r="J26" s="11"/>
      <c r="K26" s="12" t="n">
        <v>45124</v>
      </c>
      <c r="L26" s="12" t="n">
        <v>45163</v>
      </c>
      <c r="M26" s="12" t="n">
        <v>45190</v>
      </c>
      <c r="N26" s="12" t="n">
        <v>45336</v>
      </c>
      <c r="O26" s="12"/>
      <c r="P26" s="12"/>
      <c r="Q26" s="12" t="n">
        <v>45231</v>
      </c>
      <c r="R26" s="12"/>
      <c r="S26" s="12" t="n">
        <v>45351</v>
      </c>
      <c r="T26" s="12" t="n">
        <v>45281</v>
      </c>
      <c r="U26" s="12" t="n">
        <v>45351</v>
      </c>
      <c r="V26" s="12"/>
      <c r="W26" s="10" t="s">
        <v>171</v>
      </c>
      <c r="X26" s="10" t="s">
        <v>449</v>
      </c>
      <c r="Y26" s="10" t="s">
        <v>173</v>
      </c>
      <c r="Z26" s="11"/>
      <c r="AA26" s="10" t="s">
        <v>174</v>
      </c>
      <c r="AB26" s="19" t="b">
        <f aca="false">FALSE()</f>
        <v>0</v>
      </c>
      <c r="AC26" s="19" t="b">
        <f aca="false">FALSE()</f>
        <v>0</v>
      </c>
      <c r="AD26" s="10"/>
    </row>
    <row r="27" customFormat="false" ht="30" hidden="false" customHeight="true" outlineLevel="0" collapsed="false">
      <c r="A27" s="5" t="n">
        <v>23</v>
      </c>
      <c r="B27" s="6"/>
      <c r="C27" s="6" t="s">
        <v>450</v>
      </c>
      <c r="D27" s="6" t="s">
        <v>386</v>
      </c>
      <c r="E27" s="6" t="s">
        <v>387</v>
      </c>
      <c r="F27" s="6" t="s">
        <v>37</v>
      </c>
      <c r="G27" s="7"/>
      <c r="H27" s="7"/>
      <c r="I27" s="6"/>
      <c r="J27" s="7"/>
      <c r="K27" s="8" t="n">
        <v>45133</v>
      </c>
      <c r="L27" s="8"/>
      <c r="M27" s="8"/>
      <c r="N27" s="8"/>
      <c r="O27" s="8"/>
      <c r="P27" s="8"/>
      <c r="Q27" s="8"/>
      <c r="R27" s="8"/>
      <c r="S27" s="8" t="n">
        <v>45133</v>
      </c>
      <c r="T27" s="8"/>
      <c r="U27" s="8" t="n">
        <v>45133</v>
      </c>
      <c r="V27" s="8"/>
      <c r="W27" s="6" t="s">
        <v>57</v>
      </c>
      <c r="X27" s="6"/>
      <c r="Y27" s="6" t="s">
        <v>451</v>
      </c>
      <c r="Z27" s="7" t="n">
        <v>896019360</v>
      </c>
      <c r="AA27" s="6"/>
      <c r="AB27" s="18" t="b">
        <f aca="false">FALSE()</f>
        <v>0</v>
      </c>
      <c r="AC27" s="18" t="b">
        <f aca="false">FALSE()</f>
        <v>0</v>
      </c>
      <c r="AD27" s="6" t="s">
        <v>452</v>
      </c>
    </row>
    <row r="28" customFormat="false" ht="30" hidden="false" customHeight="true" outlineLevel="0" collapsed="false">
      <c r="A28" s="9" t="n">
        <v>24</v>
      </c>
      <c r="B28" s="10"/>
      <c r="C28" s="10" t="s">
        <v>175</v>
      </c>
      <c r="D28" s="10" t="s">
        <v>181</v>
      </c>
      <c r="E28" s="10" t="s">
        <v>176</v>
      </c>
      <c r="F28" s="10" t="s">
        <v>37</v>
      </c>
      <c r="G28" s="11"/>
      <c r="H28" s="11" t="n">
        <v>28237001760</v>
      </c>
      <c r="I28" s="10"/>
      <c r="J28" s="11"/>
      <c r="K28" s="12" t="n">
        <v>45149</v>
      </c>
      <c r="L28" s="12" t="n">
        <v>45163</v>
      </c>
      <c r="M28" s="12" t="n">
        <v>45190</v>
      </c>
      <c r="N28" s="12"/>
      <c r="O28" s="12"/>
      <c r="P28" s="12"/>
      <c r="Q28" s="12" t="n">
        <v>45204</v>
      </c>
      <c r="R28" s="12"/>
      <c r="S28" s="12"/>
      <c r="T28" s="12"/>
      <c r="U28" s="12"/>
      <c r="V28" s="12"/>
      <c r="W28" s="10"/>
      <c r="X28" s="10" t="s">
        <v>449</v>
      </c>
      <c r="Y28" s="10" t="s">
        <v>453</v>
      </c>
      <c r="Z28" s="11"/>
      <c r="AA28" s="10" t="s">
        <v>178</v>
      </c>
      <c r="AB28" s="19" t="b">
        <f aca="false">FALSE()</f>
        <v>0</v>
      </c>
      <c r="AC28" s="19" t="b">
        <f aca="false">FALSE()</f>
        <v>0</v>
      </c>
      <c r="AD28" s="10" t="s">
        <v>179</v>
      </c>
    </row>
    <row r="29" customFormat="false" ht="30" hidden="false" customHeight="true" outlineLevel="0" collapsed="false">
      <c r="A29" s="5" t="n">
        <v>25</v>
      </c>
      <c r="B29" s="6"/>
      <c r="C29" s="6" t="s">
        <v>454</v>
      </c>
      <c r="D29" s="6" t="s">
        <v>455</v>
      </c>
      <c r="E29" s="6" t="s">
        <v>456</v>
      </c>
      <c r="F29" s="6" t="s">
        <v>37</v>
      </c>
      <c r="G29" s="7" t="n">
        <v>2409</v>
      </c>
      <c r="H29" s="7" t="n">
        <v>10388353000</v>
      </c>
      <c r="I29" s="6"/>
      <c r="J29" s="7" t="n">
        <v>4312309.257</v>
      </c>
      <c r="K29" s="8" t="n">
        <v>45161</v>
      </c>
      <c r="L29" s="8" t="n">
        <v>45175</v>
      </c>
      <c r="M29" s="8" t="n">
        <v>45231</v>
      </c>
      <c r="N29" s="8" t="n">
        <v>45231</v>
      </c>
      <c r="O29" s="8"/>
      <c r="P29" s="8"/>
      <c r="Q29" s="8"/>
      <c r="R29" s="8"/>
      <c r="S29" s="8"/>
      <c r="T29" s="8"/>
      <c r="U29" s="8" t="n">
        <v>45244</v>
      </c>
      <c r="V29" s="8"/>
      <c r="W29" s="6" t="s">
        <v>90</v>
      </c>
      <c r="X29" s="6"/>
      <c r="Y29" s="6" t="s">
        <v>457</v>
      </c>
      <c r="Z29" s="7"/>
      <c r="AA29" s="6"/>
      <c r="AB29" s="18" t="b">
        <f aca="false">FALSE()</f>
        <v>0</v>
      </c>
      <c r="AC29" s="18" t="b">
        <f aca="false">FALSE()</f>
        <v>0</v>
      </c>
      <c r="AD29" s="6" t="s">
        <v>458</v>
      </c>
    </row>
    <row r="30" customFormat="false" ht="30" hidden="false" customHeight="true" outlineLevel="0" collapsed="false">
      <c r="A30" s="9" t="n">
        <v>26</v>
      </c>
      <c r="B30" s="10"/>
      <c r="C30" s="10" t="s">
        <v>180</v>
      </c>
      <c r="D30" s="10" t="s">
        <v>181</v>
      </c>
      <c r="E30" s="10" t="s">
        <v>182</v>
      </c>
      <c r="F30" s="10" t="s">
        <v>37</v>
      </c>
      <c r="G30" s="11"/>
      <c r="H30" s="11" t="n">
        <v>44580848000</v>
      </c>
      <c r="I30" s="10"/>
      <c r="J30" s="11"/>
      <c r="K30" s="12" t="n">
        <v>45173</v>
      </c>
      <c r="L30" s="12" t="n">
        <v>45187</v>
      </c>
      <c r="M30" s="12" t="n">
        <v>45204</v>
      </c>
      <c r="N30" s="12"/>
      <c r="O30" s="12"/>
      <c r="P30" s="12"/>
      <c r="Q30" s="12" t="n">
        <v>45251</v>
      </c>
      <c r="R30" s="12"/>
      <c r="S30" s="12" t="n">
        <v>45385</v>
      </c>
      <c r="T30" s="12"/>
      <c r="U30" s="12" t="n">
        <v>45385</v>
      </c>
      <c r="V30" s="12"/>
      <c r="W30" s="10" t="s">
        <v>57</v>
      </c>
      <c r="X30" s="10" t="s">
        <v>449</v>
      </c>
      <c r="Y30" s="10" t="s">
        <v>183</v>
      </c>
      <c r="Z30" s="11"/>
      <c r="AA30" s="10"/>
      <c r="AB30" s="19" t="b">
        <f aca="false">FALSE()</f>
        <v>0</v>
      </c>
      <c r="AC30" s="19" t="b">
        <f aca="false">TRUE()</f>
        <v>1</v>
      </c>
      <c r="AD30" s="10" t="s">
        <v>184</v>
      </c>
    </row>
    <row r="31" customFormat="false" ht="30" hidden="false" customHeight="true" outlineLevel="0" collapsed="false">
      <c r="A31" s="5" t="n">
        <v>27</v>
      </c>
      <c r="B31" s="6"/>
      <c r="C31" s="6" t="s">
        <v>185</v>
      </c>
      <c r="D31" s="6" t="s">
        <v>186</v>
      </c>
      <c r="E31" s="6" t="s">
        <v>187</v>
      </c>
      <c r="F31" s="6" t="s">
        <v>37</v>
      </c>
      <c r="G31" s="7"/>
      <c r="H31" s="7"/>
      <c r="I31" s="6"/>
      <c r="J31" s="7"/>
      <c r="K31" s="8" t="n">
        <v>45176</v>
      </c>
      <c r="L31" s="8" t="n">
        <v>45209</v>
      </c>
      <c r="M31" s="8"/>
      <c r="N31" s="8" t="n">
        <v>45289</v>
      </c>
      <c r="O31" s="8"/>
      <c r="P31" s="8"/>
      <c r="Q31" s="8"/>
      <c r="R31" s="8"/>
      <c r="S31" s="8" t="n">
        <v>45299</v>
      </c>
      <c r="T31" s="8"/>
      <c r="U31" s="8"/>
      <c r="V31" s="8"/>
      <c r="W31" s="6" t="s">
        <v>52</v>
      </c>
      <c r="X31" s="6" t="s">
        <v>449</v>
      </c>
      <c r="Y31" s="6"/>
      <c r="Z31" s="7"/>
      <c r="AA31" s="6"/>
      <c r="AB31" s="18" t="b">
        <f aca="false">FALSE()</f>
        <v>0</v>
      </c>
      <c r="AC31" s="18" t="b">
        <f aca="false">FALSE()</f>
        <v>0</v>
      </c>
      <c r="AD31" s="6" t="s">
        <v>188</v>
      </c>
    </row>
    <row r="32" customFormat="false" ht="30" hidden="false" customHeight="true" outlineLevel="0" collapsed="false">
      <c r="A32" s="9" t="n">
        <v>28</v>
      </c>
      <c r="B32" s="10"/>
      <c r="C32" s="10" t="s">
        <v>459</v>
      </c>
      <c r="D32" s="10" t="s">
        <v>460</v>
      </c>
      <c r="E32" s="10" t="s">
        <v>461</v>
      </c>
      <c r="F32" s="10" t="s">
        <v>37</v>
      </c>
      <c r="G32" s="11"/>
      <c r="H32" s="11"/>
      <c r="I32" s="10"/>
      <c r="J32" s="11"/>
      <c r="K32" s="12" t="n">
        <v>45184</v>
      </c>
      <c r="L32" s="12" t="n">
        <v>45226</v>
      </c>
      <c r="M32" s="12"/>
      <c r="N32" s="12"/>
      <c r="O32" s="12"/>
      <c r="P32" s="12"/>
      <c r="Q32" s="12"/>
      <c r="R32" s="12"/>
      <c r="S32" s="12"/>
      <c r="T32" s="12"/>
      <c r="U32" s="12"/>
      <c r="V32" s="12"/>
      <c r="W32" s="10" t="s">
        <v>99</v>
      </c>
      <c r="X32" s="10"/>
      <c r="Y32" s="10" t="s">
        <v>462</v>
      </c>
      <c r="Z32" s="11"/>
      <c r="AA32" s="10"/>
      <c r="AB32" s="19" t="b">
        <f aca="false">FALSE()</f>
        <v>0</v>
      </c>
      <c r="AC32" s="19" t="b">
        <f aca="false">FALSE()</f>
        <v>0</v>
      </c>
      <c r="AD32" s="10"/>
    </row>
    <row r="33" customFormat="false" ht="30" hidden="false" customHeight="true" outlineLevel="0" collapsed="false">
      <c r="A33" s="5" t="n">
        <v>29</v>
      </c>
      <c r="B33" s="6"/>
      <c r="C33" s="6" t="s">
        <v>189</v>
      </c>
      <c r="D33" s="6" t="s">
        <v>181</v>
      </c>
      <c r="E33" s="6" t="s">
        <v>190</v>
      </c>
      <c r="F33" s="6" t="s">
        <v>37</v>
      </c>
      <c r="G33" s="7"/>
      <c r="H33" s="7"/>
      <c r="I33" s="6"/>
      <c r="J33" s="7"/>
      <c r="K33" s="8" t="n">
        <v>45184</v>
      </c>
      <c r="L33" s="8" t="n">
        <v>45211</v>
      </c>
      <c r="M33" s="8" t="n">
        <v>45236</v>
      </c>
      <c r="N33" s="8"/>
      <c r="O33" s="8"/>
      <c r="P33" s="8"/>
      <c r="Q33" s="8" t="n">
        <v>45288</v>
      </c>
      <c r="R33" s="8"/>
      <c r="S33" s="8" t="n">
        <v>45506</v>
      </c>
      <c r="T33" s="8"/>
      <c r="U33" s="8" t="n">
        <v>45506</v>
      </c>
      <c r="V33" s="8"/>
      <c r="W33" s="6" t="s">
        <v>57</v>
      </c>
      <c r="X33" s="6" t="s">
        <v>449</v>
      </c>
      <c r="Y33" s="6" t="s">
        <v>191</v>
      </c>
      <c r="Z33" s="7"/>
      <c r="AA33" s="6"/>
      <c r="AB33" s="18" t="b">
        <f aca="false">FALSE()</f>
        <v>0</v>
      </c>
      <c r="AC33" s="18" t="b">
        <f aca="false">FALSE()</f>
        <v>0</v>
      </c>
      <c r="AD33" s="6" t="s">
        <v>192</v>
      </c>
    </row>
    <row r="34" customFormat="false" ht="30" hidden="false" customHeight="true" outlineLevel="0" collapsed="false">
      <c r="A34" s="9" t="n">
        <v>30</v>
      </c>
      <c r="B34" s="10"/>
      <c r="C34" s="10" t="s">
        <v>463</v>
      </c>
      <c r="D34" s="10" t="s">
        <v>464</v>
      </c>
      <c r="E34" s="10" t="s">
        <v>187</v>
      </c>
      <c r="F34" s="10" t="s">
        <v>37</v>
      </c>
      <c r="G34" s="11"/>
      <c r="H34" s="11"/>
      <c r="I34" s="10"/>
      <c r="J34" s="11"/>
      <c r="K34" s="12" t="n">
        <v>45205</v>
      </c>
      <c r="L34" s="12" t="n">
        <v>45205</v>
      </c>
      <c r="M34" s="12"/>
      <c r="N34" s="12"/>
      <c r="O34" s="12"/>
      <c r="P34" s="12"/>
      <c r="Q34" s="12"/>
      <c r="R34" s="12"/>
      <c r="S34" s="12"/>
      <c r="T34" s="12"/>
      <c r="U34" s="12"/>
      <c r="V34" s="12"/>
      <c r="W34" s="10"/>
      <c r="X34" s="10"/>
      <c r="Y34" s="10"/>
      <c r="Z34" s="11"/>
      <c r="AA34" s="10"/>
      <c r="AB34" s="19" t="b">
        <f aca="false">FALSE()</f>
        <v>0</v>
      </c>
      <c r="AC34" s="19" t="b">
        <f aca="false">FALSE()</f>
        <v>0</v>
      </c>
      <c r="AD34" s="10" t="s">
        <v>447</v>
      </c>
    </row>
    <row r="35" customFormat="false" ht="30" hidden="false" customHeight="true" outlineLevel="0" collapsed="false">
      <c r="A35" s="5" t="n">
        <v>31</v>
      </c>
      <c r="B35" s="6"/>
      <c r="C35" s="6" t="s">
        <v>193</v>
      </c>
      <c r="D35" s="6" t="s">
        <v>194</v>
      </c>
      <c r="E35" s="6" t="s">
        <v>195</v>
      </c>
      <c r="F35" s="6" t="s">
        <v>37</v>
      </c>
      <c r="G35" s="7"/>
      <c r="H35" s="7" t="n">
        <v>4952260000</v>
      </c>
      <c r="I35" s="6"/>
      <c r="J35" s="7"/>
      <c r="K35" s="8" t="n">
        <v>45216</v>
      </c>
      <c r="L35" s="8" t="n">
        <v>45216</v>
      </c>
      <c r="M35" s="8" t="n">
        <v>45244</v>
      </c>
      <c r="N35" s="8" t="n">
        <v>45236</v>
      </c>
      <c r="O35" s="8"/>
      <c r="P35" s="8"/>
      <c r="Q35" s="8" t="n">
        <v>45264</v>
      </c>
      <c r="R35" s="8" t="n">
        <v>45264</v>
      </c>
      <c r="S35" s="8" t="n">
        <v>45244</v>
      </c>
      <c r="T35" s="8"/>
      <c r="U35" s="8" t="n">
        <v>45244</v>
      </c>
      <c r="V35" s="8"/>
      <c r="W35" s="6"/>
      <c r="X35" s="6" t="s">
        <v>449</v>
      </c>
      <c r="Y35" s="6" t="s">
        <v>196</v>
      </c>
      <c r="Z35" s="7"/>
      <c r="AA35" s="6"/>
      <c r="AB35" s="18" t="b">
        <f aca="false">FALSE()</f>
        <v>0</v>
      </c>
      <c r="AC35" s="18" t="b">
        <f aca="false">TRUE()</f>
        <v>1</v>
      </c>
      <c r="AD35" s="6" t="s">
        <v>197</v>
      </c>
    </row>
    <row r="36" customFormat="false" ht="30" hidden="false" customHeight="true" outlineLevel="0" collapsed="false">
      <c r="A36" s="9" t="n">
        <v>32</v>
      </c>
      <c r="B36" s="10"/>
      <c r="C36" s="10" t="s">
        <v>198</v>
      </c>
      <c r="D36" s="10" t="s">
        <v>199</v>
      </c>
      <c r="E36" s="10" t="s">
        <v>200</v>
      </c>
      <c r="F36" s="10" t="s">
        <v>37</v>
      </c>
      <c r="G36" s="11" t="n">
        <v>76000</v>
      </c>
      <c r="H36" s="11" t="n">
        <v>4940000000</v>
      </c>
      <c r="I36" s="10"/>
      <c r="J36" s="11" t="n">
        <v>65000</v>
      </c>
      <c r="K36" s="12" t="n">
        <v>45216</v>
      </c>
      <c r="L36" s="12" t="n">
        <v>45216</v>
      </c>
      <c r="M36" s="12" t="n">
        <v>45233</v>
      </c>
      <c r="N36" s="12" t="n">
        <v>45233</v>
      </c>
      <c r="O36" s="12"/>
      <c r="P36" s="12"/>
      <c r="Q36" s="12" t="n">
        <v>45278</v>
      </c>
      <c r="R36" s="12" t="n">
        <v>45274</v>
      </c>
      <c r="S36" s="12" t="n">
        <v>45253</v>
      </c>
      <c r="T36" s="12"/>
      <c r="U36" s="12" t="n">
        <v>45253</v>
      </c>
      <c r="V36" s="12"/>
      <c r="W36" s="10" t="s">
        <v>57</v>
      </c>
      <c r="X36" s="10" t="s">
        <v>449</v>
      </c>
      <c r="Y36" s="10" t="s">
        <v>201</v>
      </c>
      <c r="Z36" s="11"/>
      <c r="AA36" s="10" t="s">
        <v>202</v>
      </c>
      <c r="AB36" s="19" t="b">
        <f aca="false">TRUE()</f>
        <v>1</v>
      </c>
      <c r="AC36" s="19" t="b">
        <f aca="false">TRUE()</f>
        <v>1</v>
      </c>
      <c r="AD36" s="10" t="s">
        <v>203</v>
      </c>
    </row>
    <row r="37" customFormat="false" ht="30" hidden="false" customHeight="true" outlineLevel="0" collapsed="false">
      <c r="A37" s="5" t="n">
        <v>33</v>
      </c>
      <c r="B37" s="6"/>
      <c r="C37" s="6" t="s">
        <v>204</v>
      </c>
      <c r="D37" s="6" t="s">
        <v>205</v>
      </c>
      <c r="E37" s="6" t="s">
        <v>206</v>
      </c>
      <c r="F37" s="6" t="s">
        <v>37</v>
      </c>
      <c r="G37" s="7"/>
      <c r="H37" s="7"/>
      <c r="I37" s="6" t="s">
        <v>207</v>
      </c>
      <c r="J37" s="7"/>
      <c r="K37" s="8" t="n">
        <v>45251</v>
      </c>
      <c r="L37" s="8"/>
      <c r="M37" s="8"/>
      <c r="N37" s="8" t="n">
        <v>45252</v>
      </c>
      <c r="O37" s="8" t="n">
        <v>45268</v>
      </c>
      <c r="P37" s="8"/>
      <c r="Q37" s="8"/>
      <c r="R37" s="8"/>
      <c r="S37" s="8" t="n">
        <v>45301</v>
      </c>
      <c r="T37" s="8"/>
      <c r="U37" s="8" t="n">
        <v>45302</v>
      </c>
      <c r="V37" s="8"/>
      <c r="W37" s="6" t="s">
        <v>90</v>
      </c>
      <c r="X37" s="6" t="s">
        <v>449</v>
      </c>
      <c r="Y37" s="6" t="s">
        <v>208</v>
      </c>
      <c r="Z37" s="7"/>
      <c r="AA37" s="6" t="s">
        <v>209</v>
      </c>
      <c r="AB37" s="18" t="b">
        <f aca="false">TRUE()</f>
        <v>1</v>
      </c>
      <c r="AC37" s="18" t="b">
        <f aca="false">TRUE()</f>
        <v>1</v>
      </c>
      <c r="AD37" s="6" t="s">
        <v>210</v>
      </c>
    </row>
    <row r="38" customFormat="false" ht="30" hidden="false" customHeight="true" outlineLevel="0" collapsed="false">
      <c r="A38" s="9" t="n">
        <v>34</v>
      </c>
      <c r="B38" s="10"/>
      <c r="C38" s="10" t="s">
        <v>211</v>
      </c>
      <c r="D38" s="10" t="s">
        <v>212</v>
      </c>
      <c r="E38" s="10" t="s">
        <v>213</v>
      </c>
      <c r="F38" s="10" t="s">
        <v>37</v>
      </c>
      <c r="G38" s="11"/>
      <c r="H38" s="11"/>
      <c r="I38" s="10"/>
      <c r="J38" s="11"/>
      <c r="K38" s="12" t="n">
        <v>45252</v>
      </c>
      <c r="L38" s="12" t="n">
        <v>45261</v>
      </c>
      <c r="M38" s="12"/>
      <c r="N38" s="12" t="n">
        <v>45357</v>
      </c>
      <c r="O38" s="12"/>
      <c r="P38" s="12"/>
      <c r="Q38" s="12"/>
      <c r="R38" s="12"/>
      <c r="S38" s="12"/>
      <c r="T38" s="12"/>
      <c r="U38" s="12"/>
      <c r="V38" s="12"/>
      <c r="W38" s="10" t="s">
        <v>52</v>
      </c>
      <c r="X38" s="10" t="s">
        <v>449</v>
      </c>
      <c r="Y38" s="10"/>
      <c r="Z38" s="11"/>
      <c r="AA38" s="10"/>
      <c r="AB38" s="19" t="b">
        <f aca="false">FALSE()</f>
        <v>0</v>
      </c>
      <c r="AC38" s="19" t="b">
        <f aca="false">FALSE()</f>
        <v>0</v>
      </c>
      <c r="AD38" s="10"/>
    </row>
    <row r="39" customFormat="false" ht="30" hidden="false" customHeight="true" outlineLevel="0" collapsed="false">
      <c r="A39" s="5" t="n">
        <v>35</v>
      </c>
      <c r="B39" s="6"/>
      <c r="C39" s="6" t="s">
        <v>214</v>
      </c>
      <c r="D39" s="6" t="s">
        <v>215</v>
      </c>
      <c r="E39" s="6" t="s">
        <v>216</v>
      </c>
      <c r="F39" s="6" t="s">
        <v>37</v>
      </c>
      <c r="G39" s="7"/>
      <c r="H39" s="7"/>
      <c r="I39" s="6" t="s">
        <v>170</v>
      </c>
      <c r="J39" s="7"/>
      <c r="K39" s="8"/>
      <c r="L39" s="8"/>
      <c r="M39" s="8"/>
      <c r="N39" s="8" t="n">
        <v>45273</v>
      </c>
      <c r="O39" s="8" t="n">
        <v>45299</v>
      </c>
      <c r="P39" s="8"/>
      <c r="Q39" s="8"/>
      <c r="R39" s="8"/>
      <c r="S39" s="8" t="n">
        <v>45334</v>
      </c>
      <c r="T39" s="8"/>
      <c r="U39" s="8" t="n">
        <v>45334</v>
      </c>
      <c r="V39" s="8"/>
      <c r="W39" s="6" t="s">
        <v>171</v>
      </c>
      <c r="X39" s="6" t="s">
        <v>449</v>
      </c>
      <c r="Y39" s="6" t="s">
        <v>217</v>
      </c>
      <c r="Z39" s="7"/>
      <c r="AA39" s="6" t="s">
        <v>218</v>
      </c>
      <c r="AB39" s="18" t="b">
        <f aca="false">FALSE()</f>
        <v>0</v>
      </c>
      <c r="AC39" s="18" t="b">
        <f aca="false">TRUE()</f>
        <v>1</v>
      </c>
      <c r="AD39" s="6"/>
    </row>
    <row r="40" customFormat="false" ht="30" hidden="false" customHeight="true" outlineLevel="0" collapsed="false">
      <c r="A40" s="9" t="n">
        <v>36</v>
      </c>
      <c r="B40" s="10"/>
      <c r="C40" s="10" t="s">
        <v>219</v>
      </c>
      <c r="D40" s="10" t="s">
        <v>220</v>
      </c>
      <c r="E40" s="10" t="s">
        <v>221</v>
      </c>
      <c r="F40" s="10" t="s">
        <v>37</v>
      </c>
      <c r="G40" s="11"/>
      <c r="H40" s="11"/>
      <c r="I40" s="10" t="s">
        <v>170</v>
      </c>
      <c r="J40" s="11"/>
      <c r="K40" s="12"/>
      <c r="L40" s="12"/>
      <c r="M40" s="12"/>
      <c r="N40" s="12" t="n">
        <v>45279</v>
      </c>
      <c r="O40" s="12"/>
      <c r="P40" s="12"/>
      <c r="Q40" s="12"/>
      <c r="R40" s="12"/>
      <c r="S40" s="12" t="n">
        <v>45358</v>
      </c>
      <c r="T40" s="12"/>
      <c r="U40" s="12" t="n">
        <v>45358</v>
      </c>
      <c r="V40" s="12"/>
      <c r="W40" s="10" t="s">
        <v>171</v>
      </c>
      <c r="X40" s="10" t="s">
        <v>449</v>
      </c>
      <c r="Y40" s="10" t="s">
        <v>222</v>
      </c>
      <c r="Z40" s="11"/>
      <c r="AA40" s="10"/>
      <c r="AB40" s="19" t="b">
        <f aca="false">FALSE()</f>
        <v>0</v>
      </c>
      <c r="AC40" s="19" t="b">
        <f aca="false">TRUE()</f>
        <v>1</v>
      </c>
      <c r="AD40" s="10" t="s">
        <v>210</v>
      </c>
    </row>
    <row r="41" customFormat="false" ht="30" hidden="false" customHeight="true" outlineLevel="0" collapsed="false">
      <c r="A41" s="5" t="n">
        <v>37</v>
      </c>
      <c r="B41" s="6"/>
      <c r="C41" s="6" t="s">
        <v>223</v>
      </c>
      <c r="D41" s="6" t="s">
        <v>224</v>
      </c>
      <c r="E41" s="6" t="s">
        <v>225</v>
      </c>
      <c r="F41" s="6"/>
      <c r="G41" s="7"/>
      <c r="H41" s="7"/>
      <c r="I41" s="6"/>
      <c r="J41" s="7"/>
      <c r="K41" s="8"/>
      <c r="L41" s="8"/>
      <c r="M41" s="8"/>
      <c r="N41" s="8" t="n">
        <v>45288</v>
      </c>
      <c r="O41" s="8"/>
      <c r="P41" s="8"/>
      <c r="Q41" s="8"/>
      <c r="R41" s="8"/>
      <c r="S41" s="8" t="n">
        <v>45322</v>
      </c>
      <c r="T41" s="8"/>
      <c r="U41" s="8" t="n">
        <v>45322</v>
      </c>
      <c r="V41" s="8"/>
      <c r="W41" s="6" t="s">
        <v>52</v>
      </c>
      <c r="X41" s="6" t="s">
        <v>449</v>
      </c>
      <c r="Y41" s="6" t="s">
        <v>226</v>
      </c>
      <c r="Z41" s="7"/>
      <c r="AA41" s="6"/>
      <c r="AB41" s="5"/>
      <c r="AC41" s="5"/>
      <c r="AD41" s="6"/>
    </row>
    <row r="42" customFormat="false" ht="30" hidden="false" customHeight="true" outlineLevel="0" collapsed="false">
      <c r="A42" s="9" t="n">
        <v>38</v>
      </c>
      <c r="B42" s="10"/>
      <c r="C42" s="10" t="s">
        <v>227</v>
      </c>
      <c r="D42" s="10" t="s">
        <v>228</v>
      </c>
      <c r="E42" s="10" t="s">
        <v>229</v>
      </c>
      <c r="F42" s="10" t="s">
        <v>37</v>
      </c>
      <c r="G42" s="11"/>
      <c r="H42" s="11" t="n">
        <v>11165527440</v>
      </c>
      <c r="I42" s="10"/>
      <c r="J42" s="11"/>
      <c r="K42" s="12" t="n">
        <v>45307</v>
      </c>
      <c r="L42" s="12" t="n">
        <v>45310</v>
      </c>
      <c r="M42" s="12"/>
      <c r="N42" s="12" t="n">
        <v>45370</v>
      </c>
      <c r="O42" s="12" t="n">
        <v>45386</v>
      </c>
      <c r="P42" s="12"/>
      <c r="Q42" s="12" t="n">
        <v>45398</v>
      </c>
      <c r="R42" s="12"/>
      <c r="S42" s="12"/>
      <c r="T42" s="12"/>
      <c r="U42" s="12"/>
      <c r="V42" s="12"/>
      <c r="W42" s="10" t="s">
        <v>230</v>
      </c>
      <c r="X42" s="10" t="s">
        <v>449</v>
      </c>
      <c r="Y42" s="10" t="s">
        <v>231</v>
      </c>
      <c r="Z42" s="11"/>
      <c r="AA42" s="10"/>
      <c r="AB42" s="9"/>
      <c r="AC42" s="9"/>
      <c r="AD42" s="10"/>
    </row>
    <row r="43" customFormat="false" ht="30" hidden="false" customHeight="true" outlineLevel="0" collapsed="false">
      <c r="A43" s="5" t="n">
        <v>39</v>
      </c>
      <c r="B43" s="6"/>
      <c r="C43" s="6" t="s">
        <v>232</v>
      </c>
      <c r="D43" s="6" t="s">
        <v>123</v>
      </c>
      <c r="E43" s="6" t="s">
        <v>233</v>
      </c>
      <c r="F43" s="6" t="s">
        <v>234</v>
      </c>
      <c r="G43" s="7"/>
      <c r="H43" s="7"/>
      <c r="I43" s="6"/>
      <c r="J43" s="7"/>
      <c r="K43" s="8" t="n">
        <v>45310</v>
      </c>
      <c r="L43" s="8" t="n">
        <v>45323</v>
      </c>
      <c r="M43" s="8"/>
      <c r="N43" s="8"/>
      <c r="O43" s="8"/>
      <c r="P43" s="8"/>
      <c r="Q43" s="8"/>
      <c r="R43" s="8"/>
      <c r="S43" s="8"/>
      <c r="T43" s="8"/>
      <c r="U43" s="8"/>
      <c r="V43" s="8"/>
      <c r="W43" s="6" t="s">
        <v>90</v>
      </c>
      <c r="X43" s="6" t="s">
        <v>449</v>
      </c>
      <c r="Y43" s="6"/>
      <c r="Z43" s="7"/>
      <c r="AA43" s="6"/>
      <c r="AB43" s="5"/>
      <c r="AC43" s="5"/>
      <c r="AD43" s="6"/>
    </row>
    <row r="44" customFormat="false" ht="30" hidden="false" customHeight="true" outlineLevel="0" collapsed="false">
      <c r="A44" s="9" t="n">
        <v>40</v>
      </c>
      <c r="B44" s="10"/>
      <c r="C44" s="10" t="s">
        <v>235</v>
      </c>
      <c r="D44" s="10" t="s">
        <v>236</v>
      </c>
      <c r="E44" s="10" t="s">
        <v>237</v>
      </c>
      <c r="F44" s="10" t="s">
        <v>37</v>
      </c>
      <c r="G44" s="11"/>
      <c r="H44" s="11"/>
      <c r="I44" s="10"/>
      <c r="J44" s="11"/>
      <c r="K44" s="12" t="n">
        <v>45337</v>
      </c>
      <c r="L44" s="12" t="n">
        <v>45337</v>
      </c>
      <c r="M44" s="12"/>
      <c r="N44" s="12" t="n">
        <v>45356</v>
      </c>
      <c r="O44" s="12"/>
      <c r="P44" s="12"/>
      <c r="Q44" s="12"/>
      <c r="R44" s="12"/>
      <c r="S44" s="12"/>
      <c r="T44" s="12"/>
      <c r="U44" s="12"/>
      <c r="V44" s="12"/>
      <c r="W44" s="10" t="s">
        <v>52</v>
      </c>
      <c r="X44" s="10" t="s">
        <v>449</v>
      </c>
      <c r="Y44" s="10"/>
      <c r="Z44" s="11"/>
      <c r="AA44" s="10"/>
      <c r="AB44" s="9"/>
      <c r="AC44" s="9"/>
      <c r="AD44" s="10"/>
    </row>
    <row r="45" customFormat="false" ht="30" hidden="false" customHeight="true" outlineLevel="0" collapsed="false">
      <c r="A45" s="5" t="n">
        <v>41</v>
      </c>
      <c r="B45" s="6"/>
      <c r="C45" s="6" t="s">
        <v>238</v>
      </c>
      <c r="D45" s="6" t="s">
        <v>239</v>
      </c>
      <c r="E45" s="6" t="s">
        <v>240</v>
      </c>
      <c r="F45" s="6" t="s">
        <v>234</v>
      </c>
      <c r="G45" s="7"/>
      <c r="H45" s="7"/>
      <c r="I45" s="6"/>
      <c r="J45" s="7"/>
      <c r="K45" s="8" t="n">
        <v>45379</v>
      </c>
      <c r="L45" s="8" t="n">
        <v>45386</v>
      </c>
      <c r="M45" s="8"/>
      <c r="N45" s="8"/>
      <c r="O45" s="8"/>
      <c r="P45" s="8"/>
      <c r="Q45" s="8" t="n">
        <v>45405</v>
      </c>
      <c r="R45" s="8"/>
      <c r="S45" s="8"/>
      <c r="T45" s="8"/>
      <c r="U45" s="8"/>
      <c r="V45" s="8"/>
      <c r="W45" s="6" t="s">
        <v>90</v>
      </c>
      <c r="X45" s="6" t="s">
        <v>449</v>
      </c>
      <c r="Y45" s="6"/>
      <c r="Z45" s="7"/>
      <c r="AA45" s="6"/>
      <c r="AB45" s="5"/>
      <c r="AC45" s="5"/>
      <c r="AD45" s="6"/>
    </row>
    <row r="46" customFormat="false" ht="30" hidden="false" customHeight="true" outlineLevel="0" collapsed="false">
      <c r="A46" s="9" t="n">
        <v>42</v>
      </c>
      <c r="B46" s="10"/>
      <c r="C46" s="10" t="s">
        <v>241</v>
      </c>
      <c r="D46" s="10" t="s">
        <v>55</v>
      </c>
      <c r="E46" s="10" t="s">
        <v>242</v>
      </c>
      <c r="F46" s="10" t="s">
        <v>37</v>
      </c>
      <c r="G46" s="11"/>
      <c r="H46" s="11"/>
      <c r="I46" s="10"/>
      <c r="J46" s="11"/>
      <c r="K46" s="12" t="n">
        <v>45369</v>
      </c>
      <c r="L46" s="12" t="n">
        <v>45415</v>
      </c>
      <c r="M46" s="12"/>
      <c r="N46" s="12"/>
      <c r="O46" s="12"/>
      <c r="P46" s="12"/>
      <c r="Q46" s="12"/>
      <c r="R46" s="12"/>
      <c r="S46" s="12"/>
      <c r="T46" s="12"/>
      <c r="U46" s="12"/>
      <c r="V46" s="12"/>
      <c r="W46" s="10" t="s">
        <v>243</v>
      </c>
      <c r="X46" s="10" t="s">
        <v>449</v>
      </c>
      <c r="Y46" s="10"/>
      <c r="Z46" s="11"/>
      <c r="AA46" s="10"/>
      <c r="AB46" s="9"/>
      <c r="AC46" s="9"/>
      <c r="AD46" s="10"/>
    </row>
    <row r="47" customFormat="false" ht="30" hidden="false" customHeight="true" outlineLevel="0" collapsed="false">
      <c r="A47" s="5" t="n">
        <v>43</v>
      </c>
      <c r="B47" s="6"/>
      <c r="C47" s="6" t="s">
        <v>244</v>
      </c>
      <c r="D47" s="6" t="s">
        <v>64</v>
      </c>
      <c r="E47" s="6" t="s">
        <v>245</v>
      </c>
      <c r="F47" s="6" t="s">
        <v>37</v>
      </c>
      <c r="G47" s="7"/>
      <c r="H47" s="7"/>
      <c r="I47" s="6"/>
      <c r="J47" s="7"/>
      <c r="K47" s="8" t="n">
        <v>45400</v>
      </c>
      <c r="L47" s="8" t="n">
        <v>45442</v>
      </c>
      <c r="M47" s="8"/>
      <c r="N47" s="8"/>
      <c r="O47" s="8"/>
      <c r="P47" s="8"/>
      <c r="Q47" s="8"/>
      <c r="R47" s="8"/>
      <c r="S47" s="8"/>
      <c r="T47" s="8"/>
      <c r="U47" s="8"/>
      <c r="V47" s="8"/>
      <c r="W47" s="6" t="s">
        <v>52</v>
      </c>
      <c r="X47" s="6" t="s">
        <v>449</v>
      </c>
      <c r="Y47" s="6"/>
      <c r="Z47" s="7"/>
      <c r="AA47" s="6"/>
      <c r="AB47" s="5"/>
      <c r="AC47" s="5"/>
      <c r="AD47" s="6"/>
    </row>
    <row r="48" customFormat="false" ht="30" hidden="false" customHeight="true" outlineLevel="0" collapsed="false">
      <c r="A48" s="9" t="n">
        <v>44</v>
      </c>
      <c r="B48" s="10"/>
      <c r="C48" s="10" t="s">
        <v>246</v>
      </c>
      <c r="D48" s="10" t="s">
        <v>64</v>
      </c>
      <c r="E48" s="10" t="s">
        <v>247</v>
      </c>
      <c r="F48" s="10" t="s">
        <v>37</v>
      </c>
      <c r="G48" s="11"/>
      <c r="H48" s="11"/>
      <c r="I48" s="10"/>
      <c r="J48" s="11"/>
      <c r="K48" s="12" t="n">
        <v>45427</v>
      </c>
      <c r="L48" s="12" t="n">
        <v>45442</v>
      </c>
      <c r="M48" s="12"/>
      <c r="N48" s="12"/>
      <c r="O48" s="12"/>
      <c r="P48" s="12"/>
      <c r="Q48" s="12"/>
      <c r="R48" s="12"/>
      <c r="S48" s="12"/>
      <c r="T48" s="12"/>
      <c r="U48" s="12"/>
      <c r="V48" s="12"/>
      <c r="W48" s="10" t="s">
        <v>243</v>
      </c>
      <c r="X48" s="10" t="s">
        <v>449</v>
      </c>
      <c r="Y48" s="10"/>
      <c r="Z48" s="11"/>
      <c r="AA48" s="10"/>
      <c r="AB48" s="9"/>
      <c r="AC48" s="9"/>
      <c r="AD48" s="10"/>
    </row>
    <row r="49" customFormat="false" ht="30" hidden="false" customHeight="true" outlineLevel="0" collapsed="false">
      <c r="A49" s="5" t="n">
        <v>45</v>
      </c>
      <c r="B49" s="6"/>
      <c r="C49" s="6" t="s">
        <v>248</v>
      </c>
      <c r="D49" s="6" t="s">
        <v>64</v>
      </c>
      <c r="E49" s="6" t="s">
        <v>249</v>
      </c>
      <c r="F49" s="6" t="s">
        <v>37</v>
      </c>
      <c r="G49" s="7"/>
      <c r="H49" s="7"/>
      <c r="I49" s="6"/>
      <c r="J49" s="7"/>
      <c r="K49" s="8" t="n">
        <v>45506</v>
      </c>
      <c r="L49" s="8"/>
      <c r="M49" s="8"/>
      <c r="N49" s="8"/>
      <c r="O49" s="8"/>
      <c r="P49" s="8"/>
      <c r="Q49" s="8"/>
      <c r="R49" s="8"/>
      <c r="S49" s="8" t="n">
        <v>45603</v>
      </c>
      <c r="T49" s="8"/>
      <c r="U49" s="8" t="n">
        <v>45603</v>
      </c>
      <c r="V49" s="8"/>
      <c r="W49" s="6" t="s">
        <v>57</v>
      </c>
      <c r="X49" s="6" t="s">
        <v>449</v>
      </c>
      <c r="Y49" s="6"/>
      <c r="Z49" s="7"/>
      <c r="AA49" s="6"/>
      <c r="AB49" s="5"/>
      <c r="AC49" s="5"/>
      <c r="AD49" s="6"/>
    </row>
    <row r="50" customFormat="false" ht="30" hidden="false" customHeight="true" outlineLevel="0" collapsed="false">
      <c r="A50" s="9" t="n">
        <v>46</v>
      </c>
      <c r="B50" s="10"/>
      <c r="C50" s="10" t="s">
        <v>250</v>
      </c>
      <c r="D50" s="10" t="s">
        <v>465</v>
      </c>
      <c r="E50" s="10" t="s">
        <v>251</v>
      </c>
      <c r="F50" s="10" t="s">
        <v>37</v>
      </c>
      <c r="G50" s="11" t="n">
        <v>11000</v>
      </c>
      <c r="H50" s="11" t="n">
        <v>291500000</v>
      </c>
      <c r="I50" s="10"/>
      <c r="J50" s="11"/>
      <c r="K50" s="12"/>
      <c r="L50" s="12"/>
      <c r="M50" s="12"/>
      <c r="N50" s="12"/>
      <c r="O50" s="12"/>
      <c r="P50" s="12"/>
      <c r="Q50" s="12"/>
      <c r="R50" s="12"/>
      <c r="S50" s="12" t="n">
        <v>45450</v>
      </c>
      <c r="T50" s="12"/>
      <c r="U50" s="12" t="n">
        <v>45450</v>
      </c>
      <c r="V50" s="12"/>
      <c r="W50" s="10" t="s">
        <v>171</v>
      </c>
      <c r="X50" s="10" t="s">
        <v>449</v>
      </c>
      <c r="Y50" s="10"/>
      <c r="Z50" s="11"/>
      <c r="AA50" s="10"/>
      <c r="AB50" s="9"/>
      <c r="AC50" s="9"/>
      <c r="AD50" s="10"/>
    </row>
    <row r="51" customFormat="false" ht="30" hidden="false" customHeight="true" outlineLevel="0" collapsed="false">
      <c r="A51" s="5" t="n">
        <v>47</v>
      </c>
      <c r="B51" s="6"/>
      <c r="C51" s="6" t="s">
        <v>252</v>
      </c>
      <c r="D51" s="6" t="s">
        <v>55</v>
      </c>
      <c r="E51" s="6" t="s">
        <v>253</v>
      </c>
      <c r="F51" s="6" t="s">
        <v>37</v>
      </c>
      <c r="G51" s="7"/>
      <c r="H51" s="7"/>
      <c r="I51" s="6"/>
      <c r="J51" s="7"/>
      <c r="K51" s="8" t="n">
        <v>45447</v>
      </c>
      <c r="L51" s="8"/>
      <c r="M51" s="8"/>
      <c r="N51" s="8"/>
      <c r="O51" s="8"/>
      <c r="P51" s="8"/>
      <c r="Q51" s="8"/>
      <c r="R51" s="8"/>
      <c r="S51" s="8"/>
      <c r="T51" s="8"/>
      <c r="U51" s="8"/>
      <c r="V51" s="8"/>
      <c r="W51" s="6"/>
      <c r="X51" s="6" t="s">
        <v>449</v>
      </c>
      <c r="Y51" s="6"/>
      <c r="Z51" s="7"/>
      <c r="AA51" s="6"/>
      <c r="AB51" s="5"/>
      <c r="AC51" s="5"/>
      <c r="AD51" s="6"/>
    </row>
    <row r="52" customFormat="false" ht="30" hidden="false" customHeight="true" outlineLevel="0" collapsed="false">
      <c r="A52" s="9" t="n">
        <v>48</v>
      </c>
      <c r="B52" s="10"/>
      <c r="C52" s="10" t="s">
        <v>256</v>
      </c>
      <c r="D52" s="10" t="s">
        <v>55</v>
      </c>
      <c r="E52" s="10" t="s">
        <v>257</v>
      </c>
      <c r="F52" s="10" t="s">
        <v>37</v>
      </c>
      <c r="G52" s="11"/>
      <c r="H52" s="11" t="n">
        <v>4836000000</v>
      </c>
      <c r="I52" s="10"/>
      <c r="J52" s="11"/>
      <c r="K52" s="12" t="n">
        <v>45357</v>
      </c>
      <c r="L52" s="12"/>
      <c r="M52" s="12"/>
      <c r="N52" s="12" t="n">
        <v>45405</v>
      </c>
      <c r="O52" s="12"/>
      <c r="P52" s="12"/>
      <c r="Q52" s="12" t="n">
        <v>45443</v>
      </c>
      <c r="R52" s="12"/>
      <c r="S52" s="12" t="n">
        <v>45492</v>
      </c>
      <c r="T52" s="12"/>
      <c r="U52" s="12" t="n">
        <v>45492</v>
      </c>
      <c r="V52" s="12"/>
      <c r="W52" s="10" t="s">
        <v>171</v>
      </c>
      <c r="X52" s="10" t="s">
        <v>449</v>
      </c>
      <c r="Y52" s="10" t="s">
        <v>258</v>
      </c>
      <c r="Z52" s="11"/>
      <c r="AA52" s="10"/>
      <c r="AB52" s="9"/>
      <c r="AC52" s="9"/>
      <c r="AD52" s="10"/>
    </row>
    <row r="53" customFormat="false" ht="30" hidden="false" customHeight="true" outlineLevel="0" collapsed="false">
      <c r="A53" s="5" t="n">
        <v>49</v>
      </c>
      <c r="B53" s="6"/>
      <c r="C53" s="6" t="s">
        <v>259</v>
      </c>
      <c r="D53" s="6" t="s">
        <v>260</v>
      </c>
      <c r="E53" s="6" t="s">
        <v>261</v>
      </c>
      <c r="F53" s="6" t="s">
        <v>37</v>
      </c>
      <c r="G53" s="7"/>
      <c r="H53" s="7"/>
      <c r="I53" s="6"/>
      <c r="J53" s="7"/>
      <c r="K53" s="8"/>
      <c r="L53" s="8" t="n">
        <v>45467</v>
      </c>
      <c r="M53" s="8"/>
      <c r="N53" s="8"/>
      <c r="O53" s="8"/>
      <c r="P53" s="8"/>
      <c r="Q53" s="8" t="n">
        <v>45632</v>
      </c>
      <c r="R53" s="8"/>
      <c r="S53" s="8" t="n">
        <v>45632</v>
      </c>
      <c r="T53" s="8"/>
      <c r="U53" s="8"/>
      <c r="V53" s="8"/>
      <c r="W53" s="6"/>
      <c r="X53" s="6" t="s">
        <v>449</v>
      </c>
      <c r="Y53" s="6" t="s">
        <v>466</v>
      </c>
      <c r="Z53" s="7"/>
      <c r="AA53" s="6"/>
      <c r="AB53" s="5"/>
      <c r="AC53" s="5"/>
      <c r="AD53" s="6"/>
    </row>
    <row r="54" customFormat="false" ht="30" hidden="false" customHeight="true" outlineLevel="0" collapsed="false">
      <c r="A54" s="9" t="n">
        <v>50</v>
      </c>
      <c r="B54" s="10"/>
      <c r="C54" s="10" t="s">
        <v>263</v>
      </c>
      <c r="D54" s="10" t="s">
        <v>264</v>
      </c>
      <c r="E54" s="10" t="s">
        <v>265</v>
      </c>
      <c r="F54" s="10" t="s">
        <v>37</v>
      </c>
      <c r="G54" s="11"/>
      <c r="H54" s="11"/>
      <c r="I54" s="10"/>
      <c r="J54" s="11"/>
      <c r="K54" s="12"/>
      <c r="L54" s="12"/>
      <c r="M54" s="12"/>
      <c r="N54" s="12"/>
      <c r="O54" s="12"/>
      <c r="P54" s="12"/>
      <c r="Q54" s="12"/>
      <c r="R54" s="12"/>
      <c r="S54" s="12" t="n">
        <v>45498</v>
      </c>
      <c r="T54" s="12"/>
      <c r="U54" s="12" t="n">
        <v>45498</v>
      </c>
      <c r="V54" s="12"/>
      <c r="W54" s="10" t="s">
        <v>57</v>
      </c>
      <c r="X54" s="10" t="s">
        <v>449</v>
      </c>
      <c r="Y54" s="10" t="s">
        <v>467</v>
      </c>
      <c r="Z54" s="11"/>
      <c r="AA54" s="10"/>
      <c r="AB54" s="9"/>
      <c r="AC54" s="9"/>
      <c r="AD54" s="10"/>
    </row>
    <row r="55" customFormat="false" ht="30" hidden="false" customHeight="true" outlineLevel="0" collapsed="false">
      <c r="A55" s="5" t="n">
        <v>51</v>
      </c>
      <c r="B55" s="6"/>
      <c r="C55" s="6" t="s">
        <v>268</v>
      </c>
      <c r="D55" s="6" t="s">
        <v>55</v>
      </c>
      <c r="E55" s="6" t="s">
        <v>269</v>
      </c>
      <c r="F55" s="6" t="s">
        <v>37</v>
      </c>
      <c r="G55" s="7"/>
      <c r="H55" s="7"/>
      <c r="I55" s="6"/>
      <c r="J55" s="7"/>
      <c r="K55" s="8" t="n">
        <v>45490</v>
      </c>
      <c r="L55" s="8" t="n">
        <v>45513</v>
      </c>
      <c r="M55" s="8"/>
      <c r="N55" s="8"/>
      <c r="O55" s="8"/>
      <c r="P55" s="8"/>
      <c r="Q55" s="8" t="n">
        <v>45621</v>
      </c>
      <c r="R55" s="8"/>
      <c r="S55" s="8" t="n">
        <v>45646</v>
      </c>
      <c r="T55" s="8"/>
      <c r="U55" s="8" t="n">
        <v>45646</v>
      </c>
      <c r="V55" s="8"/>
      <c r="W55" s="6"/>
      <c r="X55" s="6" t="s">
        <v>449</v>
      </c>
      <c r="Y55" s="6" t="s">
        <v>270</v>
      </c>
      <c r="Z55" s="7"/>
      <c r="AA55" s="6"/>
      <c r="AB55" s="5"/>
      <c r="AC55" s="5"/>
      <c r="AD55" s="6"/>
    </row>
    <row r="56" customFormat="false" ht="30" hidden="false" customHeight="true" outlineLevel="0" collapsed="false">
      <c r="A56" s="9" t="n">
        <v>52</v>
      </c>
      <c r="B56" s="10"/>
      <c r="C56" s="10" t="s">
        <v>271</v>
      </c>
      <c r="D56" s="10" t="s">
        <v>55</v>
      </c>
      <c r="E56" s="10" t="s">
        <v>272</v>
      </c>
      <c r="F56" s="10" t="s">
        <v>37</v>
      </c>
      <c r="G56" s="11"/>
      <c r="H56" s="11"/>
      <c r="I56" s="10" t="s">
        <v>170</v>
      </c>
      <c r="J56" s="11"/>
      <c r="K56" s="12" t="n">
        <v>45523</v>
      </c>
      <c r="L56" s="12" t="n">
        <v>45560</v>
      </c>
      <c r="M56" s="12"/>
      <c r="N56" s="12" t="n">
        <v>45608</v>
      </c>
      <c r="O56" s="12"/>
      <c r="P56" s="12"/>
      <c r="Q56" s="12" t="n">
        <v>45621</v>
      </c>
      <c r="R56" s="12" t="n">
        <v>45618</v>
      </c>
      <c r="S56" s="12" t="n">
        <v>45652</v>
      </c>
      <c r="T56" s="12"/>
      <c r="U56" s="12" t="n">
        <v>45652</v>
      </c>
      <c r="V56" s="12"/>
      <c r="W56" s="10" t="s">
        <v>90</v>
      </c>
      <c r="X56" s="10" t="s">
        <v>449</v>
      </c>
      <c r="Y56" s="10" t="s">
        <v>273</v>
      </c>
      <c r="Z56" s="11"/>
      <c r="AA56" s="10"/>
      <c r="AB56" s="9"/>
      <c r="AC56" s="9"/>
      <c r="AD56" s="10"/>
    </row>
    <row r="57" customFormat="false" ht="30" hidden="false" customHeight="true" outlineLevel="0" collapsed="false">
      <c r="A57" s="5" t="n">
        <v>53</v>
      </c>
      <c r="B57" s="6"/>
      <c r="C57" s="6" t="s">
        <v>274</v>
      </c>
      <c r="D57" s="6" t="s">
        <v>275</v>
      </c>
      <c r="E57" s="6" t="s">
        <v>276</v>
      </c>
      <c r="F57" s="6" t="s">
        <v>37</v>
      </c>
      <c r="G57" s="7"/>
      <c r="H57" s="7"/>
      <c r="I57" s="6" t="s">
        <v>170</v>
      </c>
      <c r="J57" s="7"/>
      <c r="K57" s="8"/>
      <c r="L57" s="8"/>
      <c r="M57" s="8"/>
      <c r="N57" s="8"/>
      <c r="O57" s="8"/>
      <c r="P57" s="8"/>
      <c r="Q57" s="8"/>
      <c r="R57" s="8"/>
      <c r="S57" s="8" t="n">
        <v>45649</v>
      </c>
      <c r="T57" s="8"/>
      <c r="U57" s="8"/>
      <c r="V57" s="8"/>
      <c r="W57" s="6" t="s">
        <v>52</v>
      </c>
      <c r="X57" s="6" t="s">
        <v>449</v>
      </c>
      <c r="Y57" s="6"/>
      <c r="Z57" s="7"/>
      <c r="AA57" s="6"/>
      <c r="AB57" s="5"/>
      <c r="AC57" s="5"/>
      <c r="AD57" s="6"/>
    </row>
    <row r="58" customFormat="false" ht="30" hidden="false" customHeight="true" outlineLevel="0" collapsed="false">
      <c r="A58" s="9" t="n">
        <v>54</v>
      </c>
      <c r="B58" s="10"/>
      <c r="C58" s="10" t="s">
        <v>277</v>
      </c>
      <c r="D58" s="10" t="s">
        <v>46</v>
      </c>
      <c r="E58" s="10" t="s">
        <v>278</v>
      </c>
      <c r="F58" s="10" t="s">
        <v>37</v>
      </c>
      <c r="G58" s="11"/>
      <c r="H58" s="11"/>
      <c r="I58" s="10" t="s">
        <v>170</v>
      </c>
      <c r="J58" s="11"/>
      <c r="K58" s="12"/>
      <c r="L58" s="12"/>
      <c r="M58" s="12"/>
      <c r="N58" s="12" t="n">
        <v>45630</v>
      </c>
      <c r="O58" s="12"/>
      <c r="P58" s="12"/>
      <c r="Q58" s="12" t="n">
        <v>45716</v>
      </c>
      <c r="R58" s="12"/>
      <c r="S58" s="12" t="n">
        <v>45716</v>
      </c>
      <c r="T58" s="12"/>
      <c r="U58" s="12" t="n">
        <v>45716</v>
      </c>
      <c r="V58" s="12"/>
      <c r="W58" s="10"/>
      <c r="X58" s="10" t="s">
        <v>449</v>
      </c>
      <c r="Y58" s="10" t="s">
        <v>468</v>
      </c>
      <c r="Z58" s="11"/>
      <c r="AA58" s="10"/>
      <c r="AB58" s="9"/>
      <c r="AC58" s="9"/>
      <c r="AD58" s="10"/>
    </row>
    <row r="59" customFormat="false" ht="30" hidden="false" customHeight="true" outlineLevel="0" collapsed="false">
      <c r="A59" s="5" t="n">
        <v>55</v>
      </c>
      <c r="B59" s="6"/>
      <c r="C59" s="6" t="s">
        <v>280</v>
      </c>
      <c r="D59" s="6" t="s">
        <v>281</v>
      </c>
      <c r="E59" s="6" t="s">
        <v>282</v>
      </c>
      <c r="F59" s="6" t="s">
        <v>37</v>
      </c>
      <c r="G59" s="7"/>
      <c r="H59" s="7"/>
      <c r="I59" s="6"/>
      <c r="J59" s="7"/>
      <c r="K59" s="8" t="n">
        <v>45604</v>
      </c>
      <c r="L59" s="8" t="n">
        <v>45618</v>
      </c>
      <c r="M59" s="8"/>
      <c r="N59" s="8" t="n">
        <v>45653</v>
      </c>
      <c r="O59" s="8"/>
      <c r="P59" s="8"/>
      <c r="Q59" s="8" t="n">
        <v>45678</v>
      </c>
      <c r="R59" s="8"/>
      <c r="S59" s="8" t="n">
        <v>45688</v>
      </c>
      <c r="T59" s="8"/>
      <c r="U59" s="8" t="n">
        <v>45688</v>
      </c>
      <c r="V59" s="8"/>
      <c r="W59" s="6"/>
      <c r="X59" s="6" t="s">
        <v>449</v>
      </c>
      <c r="Y59" s="6"/>
      <c r="Z59" s="7"/>
      <c r="AA59" s="6"/>
      <c r="AB59" s="5"/>
      <c r="AC59" s="5"/>
      <c r="AD59" s="6"/>
    </row>
    <row r="60" customFormat="false" ht="30" hidden="false" customHeight="true" outlineLevel="0" collapsed="false">
      <c r="A60" s="9" t="n">
        <v>56</v>
      </c>
      <c r="B60" s="10"/>
      <c r="C60" s="10" t="s">
        <v>284</v>
      </c>
      <c r="D60" s="10" t="s">
        <v>118</v>
      </c>
      <c r="E60" s="10" t="s">
        <v>119</v>
      </c>
      <c r="F60" s="10" t="s">
        <v>37</v>
      </c>
      <c r="G60" s="11"/>
      <c r="H60" s="11"/>
      <c r="I60" s="10" t="s">
        <v>170</v>
      </c>
      <c r="J60" s="11"/>
      <c r="K60" s="12"/>
      <c r="L60" s="12"/>
      <c r="M60" s="12"/>
      <c r="N60" s="12" t="n">
        <v>45638</v>
      </c>
      <c r="O60" s="12"/>
      <c r="P60" s="12"/>
      <c r="Q60" s="12" t="n">
        <v>45744</v>
      </c>
      <c r="R60" s="12"/>
      <c r="S60" s="12" t="n">
        <v>45716</v>
      </c>
      <c r="T60" s="12"/>
      <c r="U60" s="12" t="n">
        <v>45716</v>
      </c>
      <c r="V60" s="12"/>
      <c r="W60" s="10"/>
      <c r="X60" s="10" t="s">
        <v>449</v>
      </c>
      <c r="Y60" s="10" t="s">
        <v>469</v>
      </c>
      <c r="Z60" s="11"/>
      <c r="AA60" s="10"/>
      <c r="AB60" s="9"/>
      <c r="AC60" s="9"/>
      <c r="AD60" s="10"/>
    </row>
    <row r="62" customFormat="false" ht="15" hidden="false" customHeight="false" outlineLevel="0" collapsed="false">
      <c r="C62" s="13" t="s">
        <v>161</v>
      </c>
    </row>
    <row r="63" customFormat="false" ht="15" hidden="false" customHeight="false" outlineLevel="0" collapsed="false">
      <c r="A63" s="14"/>
      <c r="C63" s="15" t="s">
        <v>162</v>
      </c>
    </row>
    <row r="64" customFormat="false" ht="15" hidden="false" customHeight="false" outlineLevel="0" collapsed="false">
      <c r="A64" s="16"/>
      <c r="C64" s="15" t="s">
        <v>163</v>
      </c>
    </row>
    <row r="65" customFormat="false" ht="15" hidden="false" customHeight="false" outlineLevel="0" collapsed="false">
      <c r="A65" s="17"/>
      <c r="C65" s="15" t="s">
        <v>164</v>
      </c>
    </row>
    <row r="67" customFormat="false" ht="15" hidden="false" customHeight="false" outlineLevel="0" collapsed="false">
      <c r="C67" s="2" t="s">
        <v>165</v>
      </c>
    </row>
  </sheetData>
  <autoFilter ref="A4:AD60"/>
  <mergeCells count="2">
    <mergeCell ref="K3:V3"/>
    <mergeCell ref="AA3:AC3"/>
  </mergeCells>
  <conditionalFormatting sqref="K5:V60">
    <cfRule type="expression" priority="2" aboveAverage="0" equalAverage="0" bottom="0" percent="0" rank="0" text="" dxfId="5">
      <formula>AND(K5&lt;&gt;"",$W5="",K5&gt;TODAY(),K5&lt;=TODAY()+7)</formula>
    </cfRule>
    <cfRule type="expression" priority="3" aboveAverage="0" equalAverage="0" bottom="0" percent="0" rank="0" text="" dxfId="6">
      <formula>AND(K5&lt;&gt;"",$W5="",K5&gt;TODAY()+7,K5&lt;=TODAY()+14)</formula>
    </cfRule>
    <cfRule type="expression" priority="4" aboveAverage="0" equalAverage="0" bottom="0" percent="0" rank="0" text="" dxfId="7">
      <formula>AND(K5&lt;&gt;"",K5&lt;=TODAY())</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2"/>
    <col collapsed="false" customWidth="true" hidden="false" outlineLevel="0" max="4" min="4" style="0" width="30"/>
    <col collapsed="false" customWidth="true" hidden="false" outlineLevel="0" max="5" min="5" style="0" width="48"/>
    <col collapsed="false" customWidth="true" hidden="false" outlineLevel="0" max="6" min="6" style="0" width="16"/>
    <col collapsed="false" customWidth="true" hidden="false" outlineLevel="0" max="7" min="7" style="0" width="14"/>
    <col collapsed="false" customWidth="true" hidden="false" outlineLevel="0" max="8" min="8" style="0" width="18"/>
    <col collapsed="false" customWidth="true" hidden="false" outlineLevel="0" max="9" min="9" style="0" width="16"/>
    <col collapsed="false" customWidth="true" hidden="false" outlineLevel="0" max="10" min="10" style="0" width="12"/>
    <col collapsed="false" customWidth="true" hidden="false" outlineLevel="0" max="22" min="11" style="0" width="11"/>
    <col collapsed="false" customWidth="true" hidden="false" outlineLevel="0" max="23" min="23" style="0" width="26"/>
    <col collapsed="false" customWidth="true" hidden="false" outlineLevel="0" max="24" min="24" style="0" width="24"/>
    <col collapsed="false" customWidth="true" hidden="false" outlineLevel="0" max="25" min="25" style="0" width="55"/>
    <col collapsed="false" customWidth="true" hidden="false" outlineLevel="0" max="26" min="26" style="0" width="20"/>
    <col collapsed="false" customWidth="true" hidden="false" outlineLevel="0" max="27" min="27" style="0" width="30"/>
    <col collapsed="false" customWidth="true" hidden="false" outlineLevel="0" max="28" min="28" style="0" width="8"/>
    <col collapsed="false" customWidth="true" hidden="false" outlineLevel="0" max="29" min="29" style="0" width="14"/>
    <col collapsed="false" customWidth="true" hidden="false" outlineLevel="0" max="30" min="30" style="0" width="26"/>
  </cols>
  <sheetData>
    <row r="1" customFormat="false" ht="17.35" hidden="false" customHeight="false" outlineLevel="0" collapsed="false">
      <c r="A1" s="1" t="s">
        <v>0</v>
      </c>
    </row>
    <row r="2" customFormat="false" ht="15" hidden="false" customHeight="false" outlineLevel="0" collapsed="false">
      <c r="A2" s="2" t="s">
        <v>470</v>
      </c>
    </row>
    <row r="3" customFormat="false" ht="18" hidden="false" customHeight="true" outlineLevel="0" collapsed="false">
      <c r="A3" s="3"/>
      <c r="B3" s="3"/>
      <c r="C3" s="3"/>
      <c r="D3" s="3"/>
      <c r="E3" s="3"/>
      <c r="F3" s="3"/>
      <c r="G3" s="3"/>
      <c r="H3" s="3"/>
      <c r="I3" s="3"/>
      <c r="J3" s="3"/>
      <c r="K3" s="3" t="s">
        <v>2</v>
      </c>
      <c r="L3" s="3"/>
      <c r="M3" s="3"/>
      <c r="N3" s="3"/>
      <c r="O3" s="3"/>
      <c r="P3" s="3"/>
      <c r="Q3" s="3"/>
      <c r="R3" s="3"/>
      <c r="S3" s="3"/>
      <c r="T3" s="3"/>
      <c r="U3" s="3"/>
      <c r="V3" s="3"/>
      <c r="W3" s="3"/>
      <c r="X3" s="3"/>
      <c r="Y3" s="3"/>
      <c r="Z3" s="3"/>
      <c r="AA3" s="3" t="s">
        <v>3</v>
      </c>
      <c r="AB3" s="3"/>
      <c r="AC3" s="3"/>
      <c r="AD3" s="3"/>
    </row>
    <row r="4" customFormat="false" ht="45.75" hidden="false" customHeight="true" outlineLevel="0" collapsed="false">
      <c r="A4" s="4" t="s">
        <v>4</v>
      </c>
      <c r="B4" s="4" t="s">
        <v>5</v>
      </c>
      <c r="C4" s="4" t="s">
        <v>6</v>
      </c>
      <c r="D4" s="4" t="s">
        <v>7</v>
      </c>
      <c r="E4" s="4" t="s">
        <v>8</v>
      </c>
      <c r="F4" s="4" t="s">
        <v>9</v>
      </c>
      <c r="G4" s="4" t="s">
        <v>10</v>
      </c>
      <c r="H4" s="4" t="s">
        <v>11</v>
      </c>
      <c r="I4" s="4" t="s">
        <v>12</v>
      </c>
      <c r="J4" s="4" t="s">
        <v>13</v>
      </c>
      <c r="K4" s="4" t="s">
        <v>14</v>
      </c>
      <c r="L4" s="4" t="s">
        <v>15</v>
      </c>
      <c r="M4" s="4" t="s">
        <v>16</v>
      </c>
      <c r="N4" s="4" t="s">
        <v>17</v>
      </c>
      <c r="O4" s="4" t="s">
        <v>18</v>
      </c>
      <c r="P4" s="4" t="s">
        <v>19</v>
      </c>
      <c r="Q4" s="4" t="s">
        <v>20</v>
      </c>
      <c r="R4" s="4" t="s">
        <v>21</v>
      </c>
      <c r="S4" s="4" t="s">
        <v>22</v>
      </c>
      <c r="T4" s="4" t="s">
        <v>23</v>
      </c>
      <c r="U4" s="4" t="s">
        <v>24</v>
      </c>
      <c r="V4" s="4" t="s">
        <v>25</v>
      </c>
      <c r="W4" s="4" t="s">
        <v>26</v>
      </c>
      <c r="X4" s="4" t="s">
        <v>27</v>
      </c>
      <c r="Y4" s="4" t="s">
        <v>28</v>
      </c>
      <c r="Z4" s="4" t="s">
        <v>29</v>
      </c>
      <c r="AA4" s="4" t="s">
        <v>30</v>
      </c>
      <c r="AB4" s="4" t="s">
        <v>31</v>
      </c>
      <c r="AC4" s="4" t="s">
        <v>32</v>
      </c>
      <c r="AD4" s="4" t="s">
        <v>33</v>
      </c>
    </row>
    <row r="5" customFormat="false" ht="30" hidden="false" customHeight="true" outlineLevel="0" collapsed="false">
      <c r="A5" s="5" t="n">
        <v>1</v>
      </c>
      <c r="B5" s="6"/>
      <c r="C5" s="6" t="s">
        <v>471</v>
      </c>
      <c r="D5" s="6" t="s">
        <v>472</v>
      </c>
      <c r="E5" s="6" t="s">
        <v>439</v>
      </c>
      <c r="F5" s="6" t="s">
        <v>37</v>
      </c>
      <c r="G5" s="7"/>
      <c r="H5" s="7" t="n">
        <v>90282792672</v>
      </c>
      <c r="I5" s="6"/>
      <c r="J5" s="7"/>
      <c r="K5" s="8" t="n">
        <v>44371</v>
      </c>
      <c r="L5" s="8" t="n">
        <v>44372</v>
      </c>
      <c r="M5" s="8"/>
      <c r="N5" s="8" t="n">
        <v>44578</v>
      </c>
      <c r="O5" s="8"/>
      <c r="P5" s="8" t="s">
        <v>383</v>
      </c>
      <c r="Q5" s="8" t="s">
        <v>383</v>
      </c>
      <c r="R5" s="8" t="s">
        <v>383</v>
      </c>
      <c r="S5" s="8" t="s">
        <v>383</v>
      </c>
      <c r="T5" s="8" t="s">
        <v>383</v>
      </c>
      <c r="U5" s="8" t="s">
        <v>383</v>
      </c>
      <c r="V5" s="8"/>
      <c r="W5" s="6" t="s">
        <v>52</v>
      </c>
      <c r="X5" s="6" t="s">
        <v>473</v>
      </c>
      <c r="Y5" s="6" t="s">
        <v>474</v>
      </c>
      <c r="Z5" s="7"/>
      <c r="AA5" s="6"/>
      <c r="AB5" s="5"/>
      <c r="AC5" s="5"/>
      <c r="AD5" s="6"/>
    </row>
    <row r="6" customFormat="false" ht="30" hidden="false" customHeight="true" outlineLevel="0" collapsed="false">
      <c r="A6" s="9" t="n">
        <v>2</v>
      </c>
      <c r="B6" s="10"/>
      <c r="C6" s="10" t="s">
        <v>475</v>
      </c>
      <c r="D6" s="10" t="s">
        <v>476</v>
      </c>
      <c r="E6" s="10" t="s">
        <v>477</v>
      </c>
      <c r="F6" s="10" t="s">
        <v>37</v>
      </c>
      <c r="G6" s="11" t="n">
        <v>75000</v>
      </c>
      <c r="H6" s="11" t="n">
        <v>9478208574</v>
      </c>
      <c r="I6" s="10"/>
      <c r="J6" s="11" t="n">
        <v>126376.1143</v>
      </c>
      <c r="K6" s="12" t="n">
        <v>44614</v>
      </c>
      <c r="L6" s="12" t="n">
        <v>44614</v>
      </c>
      <c r="M6" s="12"/>
      <c r="N6" s="12" t="n">
        <v>44648</v>
      </c>
      <c r="O6" s="12"/>
      <c r="P6" s="12" t="n">
        <v>44650</v>
      </c>
      <c r="Q6" s="12" t="n">
        <v>44673</v>
      </c>
      <c r="R6" s="12"/>
      <c r="S6" s="12"/>
      <c r="T6" s="12"/>
      <c r="U6" s="12"/>
      <c r="V6" s="12"/>
      <c r="W6" s="10" t="s">
        <v>52</v>
      </c>
      <c r="X6" s="10"/>
      <c r="Y6" s="10" t="s">
        <v>478</v>
      </c>
      <c r="Z6" s="11"/>
      <c r="AA6" s="10"/>
      <c r="AB6" s="9"/>
      <c r="AC6" s="9"/>
      <c r="AD6" s="10"/>
    </row>
    <row r="7" customFormat="false" ht="30" hidden="false" customHeight="true" outlineLevel="0" collapsed="false">
      <c r="A7" s="5" t="n">
        <v>3</v>
      </c>
      <c r="B7" s="6"/>
      <c r="C7" s="6" t="s">
        <v>479</v>
      </c>
      <c r="D7" s="6" t="s">
        <v>480</v>
      </c>
      <c r="E7" s="6" t="s">
        <v>200</v>
      </c>
      <c r="F7" s="6" t="s">
        <v>37</v>
      </c>
      <c r="G7" s="7" t="n">
        <v>50000</v>
      </c>
      <c r="H7" s="7" t="n">
        <v>1700000000</v>
      </c>
      <c r="I7" s="6"/>
      <c r="J7" s="7" t="n">
        <v>34000</v>
      </c>
      <c r="K7" s="8" t="n">
        <v>44593</v>
      </c>
      <c r="L7" s="8" t="n">
        <v>44593</v>
      </c>
      <c r="M7" s="8"/>
      <c r="N7" s="8" t="n">
        <v>44648</v>
      </c>
      <c r="O7" s="8"/>
      <c r="P7" s="8" t="n">
        <v>44656</v>
      </c>
      <c r="Q7" s="8" t="n">
        <v>44679</v>
      </c>
      <c r="R7" s="8"/>
      <c r="S7" s="8" t="n">
        <v>44680</v>
      </c>
      <c r="T7" s="8"/>
      <c r="U7" s="8"/>
      <c r="V7" s="8"/>
      <c r="W7" s="6" t="s">
        <v>52</v>
      </c>
      <c r="X7" s="6"/>
      <c r="Y7" s="6" t="s">
        <v>481</v>
      </c>
      <c r="Z7" s="7"/>
      <c r="AA7" s="6"/>
      <c r="AB7" s="5"/>
      <c r="AC7" s="5"/>
      <c r="AD7" s="6"/>
    </row>
    <row r="8" customFormat="false" ht="30" hidden="false" customHeight="true" outlineLevel="0" collapsed="false">
      <c r="A8" s="9" t="n">
        <v>4</v>
      </c>
      <c r="B8" s="10"/>
      <c r="C8" s="10" t="s">
        <v>482</v>
      </c>
      <c r="D8" s="10" t="s">
        <v>483</v>
      </c>
      <c r="E8" s="10" t="s">
        <v>484</v>
      </c>
      <c r="F8" s="10" t="s">
        <v>37</v>
      </c>
      <c r="G8" s="11" t="n">
        <v>3800</v>
      </c>
      <c r="H8" s="11" t="n">
        <v>12758851000</v>
      </c>
      <c r="I8" s="10"/>
      <c r="J8" s="11" t="n">
        <v>3357592.368</v>
      </c>
      <c r="K8" s="12" t="n">
        <v>44602</v>
      </c>
      <c r="L8" s="12" t="n">
        <v>44602</v>
      </c>
      <c r="M8" s="12"/>
      <c r="N8" s="12" t="n">
        <v>44656</v>
      </c>
      <c r="O8" s="12"/>
      <c r="P8" s="12"/>
      <c r="Q8" s="12"/>
      <c r="R8" s="12"/>
      <c r="S8" s="12"/>
      <c r="T8" s="12"/>
      <c r="U8" s="12"/>
      <c r="V8" s="12"/>
      <c r="W8" s="10" t="s">
        <v>52</v>
      </c>
      <c r="X8" s="10"/>
      <c r="Y8" s="10" t="s">
        <v>485</v>
      </c>
      <c r="Z8" s="11"/>
      <c r="AA8" s="10"/>
      <c r="AB8" s="9"/>
      <c r="AC8" s="9"/>
      <c r="AD8" s="10"/>
    </row>
    <row r="9" customFormat="false" ht="30" hidden="false" customHeight="true" outlineLevel="0" collapsed="false">
      <c r="A9" s="5" t="n">
        <v>5</v>
      </c>
      <c r="B9" s="6"/>
      <c r="C9" s="6" t="s">
        <v>486</v>
      </c>
      <c r="D9" s="6" t="s">
        <v>487</v>
      </c>
      <c r="E9" s="6" t="s">
        <v>488</v>
      </c>
      <c r="F9" s="6" t="s">
        <v>489</v>
      </c>
      <c r="G9" s="7"/>
      <c r="H9" s="7"/>
      <c r="I9" s="6"/>
      <c r="J9" s="7"/>
      <c r="K9" s="8" t="n">
        <v>44645</v>
      </c>
      <c r="L9" s="8" t="n">
        <v>44655</v>
      </c>
      <c r="M9" s="8"/>
      <c r="N9" s="8"/>
      <c r="O9" s="8"/>
      <c r="P9" s="8"/>
      <c r="Q9" s="8"/>
      <c r="R9" s="8"/>
      <c r="S9" s="8"/>
      <c r="T9" s="8"/>
      <c r="U9" s="8"/>
      <c r="V9" s="8"/>
      <c r="W9" s="6" t="s">
        <v>52</v>
      </c>
      <c r="X9" s="6"/>
      <c r="Y9" s="6" t="s">
        <v>474</v>
      </c>
      <c r="Z9" s="7"/>
      <c r="AA9" s="6"/>
      <c r="AB9" s="5"/>
      <c r="AC9" s="5"/>
      <c r="AD9" s="6"/>
    </row>
    <row r="10" customFormat="false" ht="30" hidden="false" customHeight="true" outlineLevel="0" collapsed="false">
      <c r="A10" s="9" t="n">
        <v>6</v>
      </c>
      <c r="B10" s="10"/>
      <c r="C10" s="10" t="s">
        <v>490</v>
      </c>
      <c r="D10" s="10" t="s">
        <v>491</v>
      </c>
      <c r="E10" s="10" t="s">
        <v>492</v>
      </c>
      <c r="F10" s="10" t="s">
        <v>37</v>
      </c>
      <c r="G10" s="11"/>
      <c r="H10" s="11"/>
      <c r="I10" s="10"/>
      <c r="J10" s="11"/>
      <c r="K10" s="12" t="n">
        <v>44624</v>
      </c>
      <c r="L10" s="12" t="n">
        <v>44624</v>
      </c>
      <c r="M10" s="12"/>
      <c r="N10" s="12"/>
      <c r="O10" s="12"/>
      <c r="P10" s="12"/>
      <c r="Q10" s="12" t="n">
        <v>44669</v>
      </c>
      <c r="R10" s="12" t="n">
        <v>44670</v>
      </c>
      <c r="S10" s="12"/>
      <c r="T10" s="12"/>
      <c r="U10" s="12"/>
      <c r="V10" s="12"/>
      <c r="W10" s="10" t="s">
        <v>52</v>
      </c>
      <c r="X10" s="10"/>
      <c r="Y10" s="10" t="s">
        <v>493</v>
      </c>
      <c r="Z10" s="11"/>
      <c r="AA10" s="10"/>
      <c r="AB10" s="9"/>
      <c r="AC10" s="9"/>
      <c r="AD10" s="10"/>
    </row>
    <row r="11" customFormat="false" ht="30" hidden="false" customHeight="true" outlineLevel="0" collapsed="false">
      <c r="A11" s="5" t="n">
        <v>7</v>
      </c>
      <c r="B11" s="6"/>
      <c r="C11" s="6" t="s">
        <v>494</v>
      </c>
      <c r="D11" s="6" t="s">
        <v>495</v>
      </c>
      <c r="E11" s="6" t="s">
        <v>121</v>
      </c>
      <c r="F11" s="6" t="s">
        <v>37</v>
      </c>
      <c r="G11" s="7" t="n">
        <v>40000</v>
      </c>
      <c r="H11" s="7" t="n">
        <v>1270000000</v>
      </c>
      <c r="I11" s="6"/>
      <c r="J11" s="7" t="n">
        <v>31750</v>
      </c>
      <c r="K11" s="8" t="n">
        <v>44616</v>
      </c>
      <c r="L11" s="8" t="n">
        <v>44616</v>
      </c>
      <c r="M11" s="8"/>
      <c r="N11" s="8" t="n">
        <v>44648</v>
      </c>
      <c r="O11" s="8"/>
      <c r="P11" s="8" t="n">
        <v>44658</v>
      </c>
      <c r="Q11" s="8"/>
      <c r="R11" s="8"/>
      <c r="S11" s="8" t="n">
        <v>44691</v>
      </c>
      <c r="T11" s="8"/>
      <c r="U11" s="8"/>
      <c r="V11" s="8"/>
      <c r="W11" s="6" t="s">
        <v>52</v>
      </c>
      <c r="X11" s="6"/>
      <c r="Y11" s="6" t="s">
        <v>496</v>
      </c>
      <c r="Z11" s="7"/>
      <c r="AA11" s="6"/>
      <c r="AB11" s="5"/>
      <c r="AC11" s="5"/>
      <c r="AD11" s="6"/>
    </row>
    <row r="12" customFormat="false" ht="30" hidden="false" customHeight="true" outlineLevel="0" collapsed="false">
      <c r="A12" s="9" t="n">
        <v>8</v>
      </c>
      <c r="B12" s="10"/>
      <c r="C12" s="10" t="s">
        <v>497</v>
      </c>
      <c r="D12" s="10" t="s">
        <v>498</v>
      </c>
      <c r="E12" s="10" t="s">
        <v>499</v>
      </c>
      <c r="F12" s="10" t="s">
        <v>37</v>
      </c>
      <c r="G12" s="11" t="n">
        <v>6400</v>
      </c>
      <c r="H12" s="11" t="n">
        <v>1318400000</v>
      </c>
      <c r="I12" s="10"/>
      <c r="J12" s="11" t="n">
        <v>206000</v>
      </c>
      <c r="K12" s="12" t="n">
        <v>44648</v>
      </c>
      <c r="L12" s="12" t="n">
        <v>44648</v>
      </c>
      <c r="M12" s="12"/>
      <c r="N12" s="12" t="n">
        <v>44677</v>
      </c>
      <c r="O12" s="12"/>
      <c r="P12" s="12"/>
      <c r="Q12" s="12" t="n">
        <v>44699</v>
      </c>
      <c r="R12" s="12"/>
      <c r="S12" s="12" t="n">
        <v>44699</v>
      </c>
      <c r="T12" s="12"/>
      <c r="U12" s="12"/>
      <c r="V12" s="12"/>
      <c r="W12" s="10" t="s">
        <v>52</v>
      </c>
      <c r="X12" s="10"/>
      <c r="Y12" s="10" t="s">
        <v>500</v>
      </c>
      <c r="Z12" s="11"/>
      <c r="AA12" s="10"/>
      <c r="AB12" s="9"/>
      <c r="AC12" s="9"/>
      <c r="AD12" s="10"/>
    </row>
    <row r="13" customFormat="false" ht="30" hidden="false" customHeight="true" outlineLevel="0" collapsed="false">
      <c r="A13" s="5" t="n">
        <v>9</v>
      </c>
      <c r="B13" s="6"/>
      <c r="C13" s="6" t="s">
        <v>501</v>
      </c>
      <c r="D13" s="6" t="s">
        <v>502</v>
      </c>
      <c r="E13" s="6" t="s">
        <v>503</v>
      </c>
      <c r="F13" s="6" t="s">
        <v>37</v>
      </c>
      <c r="G13" s="7"/>
      <c r="H13" s="7"/>
      <c r="I13" s="6"/>
      <c r="J13" s="7"/>
      <c r="K13" s="8" t="n">
        <v>44663</v>
      </c>
      <c r="L13" s="8" t="n">
        <v>44706</v>
      </c>
      <c r="M13" s="8"/>
      <c r="N13" s="8" t="n">
        <v>44664</v>
      </c>
      <c r="O13" s="8"/>
      <c r="P13" s="8"/>
      <c r="Q13" s="8"/>
      <c r="R13" s="8"/>
      <c r="S13" s="8"/>
      <c r="T13" s="8"/>
      <c r="U13" s="8"/>
      <c r="V13" s="8"/>
      <c r="W13" s="6" t="s">
        <v>52</v>
      </c>
      <c r="X13" s="6"/>
      <c r="Y13" s="6" t="s">
        <v>504</v>
      </c>
      <c r="Z13" s="7"/>
      <c r="AA13" s="6"/>
      <c r="AB13" s="5"/>
      <c r="AC13" s="5"/>
      <c r="AD13" s="6"/>
    </row>
    <row r="14" customFormat="false" ht="30" hidden="false" customHeight="true" outlineLevel="0" collapsed="false">
      <c r="A14" s="9" t="n">
        <v>10</v>
      </c>
      <c r="B14" s="10"/>
      <c r="C14" s="10" t="s">
        <v>505</v>
      </c>
      <c r="D14" s="10" t="s">
        <v>506</v>
      </c>
      <c r="E14" s="10" t="s">
        <v>507</v>
      </c>
      <c r="F14" s="10" t="s">
        <v>37</v>
      </c>
      <c r="G14" s="11"/>
      <c r="H14" s="11"/>
      <c r="I14" s="10"/>
      <c r="J14" s="11"/>
      <c r="K14" s="12" t="n">
        <v>44489</v>
      </c>
      <c r="L14" s="12" t="n">
        <v>44489</v>
      </c>
      <c r="M14" s="12"/>
      <c r="N14" s="12" t="s">
        <v>383</v>
      </c>
      <c r="O14" s="12"/>
      <c r="P14" s="12" t="s">
        <v>383</v>
      </c>
      <c r="Q14" s="12" t="s">
        <v>383</v>
      </c>
      <c r="R14" s="12" t="s">
        <v>383</v>
      </c>
      <c r="S14" s="12" t="s">
        <v>383</v>
      </c>
      <c r="T14" s="12" t="s">
        <v>383</v>
      </c>
      <c r="U14" s="12" t="s">
        <v>383</v>
      </c>
      <c r="V14" s="12"/>
      <c r="W14" s="10" t="s">
        <v>99</v>
      </c>
      <c r="X14" s="10" t="s">
        <v>473</v>
      </c>
      <c r="Y14" s="10"/>
      <c r="Z14" s="11"/>
      <c r="AA14" s="10"/>
      <c r="AB14" s="9"/>
      <c r="AC14" s="9"/>
      <c r="AD14" s="10"/>
    </row>
    <row r="15" customFormat="false" ht="30" hidden="false" customHeight="true" outlineLevel="0" collapsed="false">
      <c r="A15" s="5" t="n">
        <v>11</v>
      </c>
      <c r="B15" s="6"/>
      <c r="C15" s="6" t="s">
        <v>508</v>
      </c>
      <c r="D15" s="6" t="s">
        <v>491</v>
      </c>
      <c r="E15" s="6" t="s">
        <v>308</v>
      </c>
      <c r="F15" s="6" t="s">
        <v>37</v>
      </c>
      <c r="G15" s="7"/>
      <c r="H15" s="7"/>
      <c r="I15" s="6"/>
      <c r="J15" s="7"/>
      <c r="K15" s="8" t="n">
        <v>44208</v>
      </c>
      <c r="L15" s="8" t="n">
        <v>44208</v>
      </c>
      <c r="M15" s="8"/>
      <c r="N15" s="8" t="s">
        <v>383</v>
      </c>
      <c r="O15" s="8"/>
      <c r="P15" s="8" t="s">
        <v>383</v>
      </c>
      <c r="Q15" s="8" t="s">
        <v>383</v>
      </c>
      <c r="R15" s="8" t="s">
        <v>383</v>
      </c>
      <c r="S15" s="8" t="s">
        <v>383</v>
      </c>
      <c r="T15" s="8" t="s">
        <v>383</v>
      </c>
      <c r="U15" s="8" t="s">
        <v>383</v>
      </c>
      <c r="V15" s="8"/>
      <c r="W15" s="6" t="s">
        <v>243</v>
      </c>
      <c r="X15" s="6"/>
      <c r="Y15" s="6" t="s">
        <v>509</v>
      </c>
      <c r="Z15" s="7"/>
      <c r="AA15" s="6"/>
      <c r="AB15" s="5"/>
      <c r="AC15" s="5"/>
      <c r="AD15" s="6"/>
    </row>
    <row r="16" customFormat="false" ht="30" hidden="false" customHeight="true" outlineLevel="0" collapsed="false">
      <c r="A16" s="9" t="n">
        <v>12</v>
      </c>
      <c r="B16" s="10"/>
      <c r="C16" s="10" t="s">
        <v>510</v>
      </c>
      <c r="D16" s="10" t="s">
        <v>511</v>
      </c>
      <c r="E16" s="10" t="s">
        <v>200</v>
      </c>
      <c r="F16" s="10" t="s">
        <v>37</v>
      </c>
      <c r="G16" s="11"/>
      <c r="H16" s="11"/>
      <c r="I16" s="10"/>
      <c r="J16" s="11"/>
      <c r="K16" s="12" t="n">
        <v>44441</v>
      </c>
      <c r="L16" s="12" t="n">
        <v>44441</v>
      </c>
      <c r="M16" s="12"/>
      <c r="N16" s="12" t="s">
        <v>383</v>
      </c>
      <c r="O16" s="12"/>
      <c r="P16" s="12" t="n">
        <v>44459</v>
      </c>
      <c r="Q16" s="12" t="n">
        <v>44484</v>
      </c>
      <c r="R16" s="12" t="n">
        <v>44491</v>
      </c>
      <c r="S16" s="12" t="s">
        <v>383</v>
      </c>
      <c r="T16" s="12" t="s">
        <v>383</v>
      </c>
      <c r="U16" s="12" t="s">
        <v>383</v>
      </c>
      <c r="V16" s="12"/>
      <c r="W16" s="10" t="s">
        <v>90</v>
      </c>
      <c r="X16" s="10" t="s">
        <v>473</v>
      </c>
      <c r="Y16" s="10" t="s">
        <v>512</v>
      </c>
      <c r="Z16" s="11"/>
      <c r="AA16" s="10"/>
      <c r="AB16" s="9"/>
      <c r="AC16" s="9"/>
      <c r="AD16" s="10"/>
    </row>
    <row r="17" customFormat="false" ht="30" hidden="false" customHeight="true" outlineLevel="0" collapsed="false">
      <c r="A17" s="5" t="n">
        <v>13</v>
      </c>
      <c r="B17" s="6"/>
      <c r="C17" s="6" t="s">
        <v>513</v>
      </c>
      <c r="D17" s="6" t="s">
        <v>514</v>
      </c>
      <c r="E17" s="6" t="s">
        <v>515</v>
      </c>
      <c r="F17" s="6" t="s">
        <v>489</v>
      </c>
      <c r="G17" s="7" t="n">
        <v>730</v>
      </c>
      <c r="H17" s="7"/>
      <c r="I17" s="6" t="s">
        <v>516</v>
      </c>
      <c r="J17" s="7"/>
      <c r="K17" s="8" t="n">
        <v>44504</v>
      </c>
      <c r="L17" s="8" t="n">
        <v>44155</v>
      </c>
      <c r="M17" s="8"/>
      <c r="N17" s="8" t="n">
        <v>44281</v>
      </c>
      <c r="O17" s="8"/>
      <c r="P17" s="8" t="n">
        <v>44285</v>
      </c>
      <c r="Q17" s="8" t="n">
        <v>44545</v>
      </c>
      <c r="R17" s="8" t="s">
        <v>383</v>
      </c>
      <c r="S17" s="8" t="n">
        <v>44544</v>
      </c>
      <c r="T17" s="8" t="s">
        <v>383</v>
      </c>
      <c r="U17" s="8" t="n">
        <v>44544</v>
      </c>
      <c r="V17" s="8"/>
      <c r="W17" s="6" t="s">
        <v>90</v>
      </c>
      <c r="X17" s="6" t="s">
        <v>473</v>
      </c>
      <c r="Y17" s="6" t="s">
        <v>517</v>
      </c>
      <c r="Z17" s="7"/>
      <c r="AA17" s="6"/>
      <c r="AB17" s="5"/>
      <c r="AC17" s="5"/>
      <c r="AD17" s="6"/>
    </row>
    <row r="18" customFormat="false" ht="30" hidden="false" customHeight="true" outlineLevel="0" collapsed="false">
      <c r="A18" s="9" t="n">
        <v>14</v>
      </c>
      <c r="B18" s="10"/>
      <c r="C18" s="10" t="s">
        <v>518</v>
      </c>
      <c r="D18" s="10" t="s">
        <v>480</v>
      </c>
      <c r="E18" s="10" t="s">
        <v>519</v>
      </c>
      <c r="F18" s="10" t="s">
        <v>37</v>
      </c>
      <c r="G18" s="11" t="n">
        <v>50000</v>
      </c>
      <c r="H18" s="11" t="n">
        <v>2436250000</v>
      </c>
      <c r="I18" s="10"/>
      <c r="J18" s="11" t="n">
        <v>48725</v>
      </c>
      <c r="K18" s="12" t="n">
        <v>44445</v>
      </c>
      <c r="L18" s="12" t="n">
        <v>44445</v>
      </c>
      <c r="M18" s="12"/>
      <c r="N18" s="12" t="n">
        <v>44523</v>
      </c>
      <c r="O18" s="12"/>
      <c r="P18" s="12" t="s">
        <v>383</v>
      </c>
      <c r="Q18" s="12" t="n">
        <v>44543</v>
      </c>
      <c r="R18" s="12" t="s">
        <v>383</v>
      </c>
      <c r="S18" s="12" t="n">
        <v>44543</v>
      </c>
      <c r="T18" s="12" t="s">
        <v>383</v>
      </c>
      <c r="U18" s="12" t="s">
        <v>383</v>
      </c>
      <c r="V18" s="12"/>
      <c r="W18" s="10" t="s">
        <v>90</v>
      </c>
      <c r="X18" s="10" t="s">
        <v>473</v>
      </c>
      <c r="Y18" s="10" t="s">
        <v>520</v>
      </c>
      <c r="Z18" s="11"/>
      <c r="AA18" s="10"/>
      <c r="AB18" s="9"/>
      <c r="AC18" s="9"/>
      <c r="AD18" s="10"/>
    </row>
    <row r="19" customFormat="false" ht="30" hidden="false" customHeight="true" outlineLevel="0" collapsed="false">
      <c r="A19" s="5" t="n">
        <v>15</v>
      </c>
      <c r="B19" s="6"/>
      <c r="C19" s="6" t="s">
        <v>521</v>
      </c>
      <c r="D19" s="6" t="s">
        <v>522</v>
      </c>
      <c r="E19" s="6" t="s">
        <v>523</v>
      </c>
      <c r="F19" s="6" t="s">
        <v>37</v>
      </c>
      <c r="G19" s="7" t="n">
        <v>118844</v>
      </c>
      <c r="H19" s="7" t="n">
        <v>4630814000</v>
      </c>
      <c r="I19" s="6"/>
      <c r="J19" s="7" t="n">
        <v>38965.48416</v>
      </c>
      <c r="K19" s="8" t="n">
        <v>44502</v>
      </c>
      <c r="L19" s="8" t="n">
        <v>44502</v>
      </c>
      <c r="M19" s="8"/>
      <c r="N19" s="8" t="n">
        <v>44523</v>
      </c>
      <c r="O19" s="8"/>
      <c r="P19" s="8" t="n">
        <v>44594</v>
      </c>
      <c r="Q19" s="8" t="n">
        <v>44547</v>
      </c>
      <c r="R19" s="8" t="n">
        <v>44554</v>
      </c>
      <c r="S19" s="8" t="n">
        <v>44551</v>
      </c>
      <c r="T19" s="8" t="n">
        <v>44627</v>
      </c>
      <c r="U19" s="8"/>
      <c r="V19" s="8"/>
      <c r="W19" s="6" t="s">
        <v>90</v>
      </c>
      <c r="X19" s="6" t="s">
        <v>473</v>
      </c>
      <c r="Y19" s="6" t="s">
        <v>524</v>
      </c>
      <c r="Z19" s="7"/>
      <c r="AA19" s="6"/>
      <c r="AB19" s="5"/>
      <c r="AC19" s="5"/>
      <c r="AD19" s="6"/>
    </row>
    <row r="20" customFormat="false" ht="30" hidden="false" customHeight="true" outlineLevel="0" collapsed="false">
      <c r="A20" s="9" t="n">
        <v>16</v>
      </c>
      <c r="B20" s="10"/>
      <c r="C20" s="10" t="s">
        <v>525</v>
      </c>
      <c r="D20" s="10" t="s">
        <v>526</v>
      </c>
      <c r="E20" s="10" t="s">
        <v>200</v>
      </c>
      <c r="F20" s="10" t="s">
        <v>37</v>
      </c>
      <c r="G20" s="11" t="n">
        <v>687000</v>
      </c>
      <c r="H20" s="11" t="n">
        <v>24045000000</v>
      </c>
      <c r="I20" s="10"/>
      <c r="J20" s="11" t="n">
        <v>35000</v>
      </c>
      <c r="K20" s="12" t="n">
        <v>44580</v>
      </c>
      <c r="L20" s="12" t="n">
        <v>44580</v>
      </c>
      <c r="M20" s="12"/>
      <c r="N20" s="12" t="n">
        <v>44603</v>
      </c>
      <c r="O20" s="12"/>
      <c r="P20" s="12" t="s">
        <v>383</v>
      </c>
      <c r="Q20" s="12" t="n">
        <v>44631</v>
      </c>
      <c r="R20" s="12" t="s">
        <v>383</v>
      </c>
      <c r="S20" s="12" t="n">
        <v>44631</v>
      </c>
      <c r="T20" s="12" t="s">
        <v>383</v>
      </c>
      <c r="U20" s="12"/>
      <c r="V20" s="12"/>
      <c r="W20" s="10" t="s">
        <v>90</v>
      </c>
      <c r="X20" s="10"/>
      <c r="Y20" s="10" t="s">
        <v>527</v>
      </c>
      <c r="Z20" s="11"/>
      <c r="AA20" s="10"/>
      <c r="AB20" s="9"/>
      <c r="AC20" s="9"/>
      <c r="AD20" s="10"/>
    </row>
    <row r="21" customFormat="false" ht="30" hidden="false" customHeight="true" outlineLevel="0" collapsed="false">
      <c r="A21" s="5" t="n">
        <v>17</v>
      </c>
      <c r="B21" s="6"/>
      <c r="C21" s="6" t="s">
        <v>528</v>
      </c>
      <c r="D21" s="6" t="s">
        <v>526</v>
      </c>
      <c r="E21" s="6" t="s">
        <v>187</v>
      </c>
      <c r="F21" s="6" t="s">
        <v>37</v>
      </c>
      <c r="G21" s="7" t="n">
        <v>40000</v>
      </c>
      <c r="H21" s="7" t="n">
        <v>1456000000</v>
      </c>
      <c r="I21" s="6"/>
      <c r="J21" s="7" t="n">
        <v>36400</v>
      </c>
      <c r="K21" s="8" t="n">
        <v>44398</v>
      </c>
      <c r="L21" s="8" t="n">
        <v>44398</v>
      </c>
      <c r="M21" s="8"/>
      <c r="N21" s="8" t="n">
        <v>44578</v>
      </c>
      <c r="O21" s="8"/>
      <c r="P21" s="8" t="n">
        <v>44586</v>
      </c>
      <c r="Q21" s="8" t="n">
        <v>44441</v>
      </c>
      <c r="R21" s="8" t="s">
        <v>383</v>
      </c>
      <c r="S21" s="8" t="n">
        <v>44586</v>
      </c>
      <c r="T21" s="8" t="n">
        <v>44539</v>
      </c>
      <c r="U21" s="8" t="s">
        <v>383</v>
      </c>
      <c r="V21" s="8"/>
      <c r="W21" s="6" t="s">
        <v>57</v>
      </c>
      <c r="X21" s="6" t="s">
        <v>473</v>
      </c>
      <c r="Y21" s="6" t="s">
        <v>529</v>
      </c>
      <c r="Z21" s="7"/>
      <c r="AA21" s="6"/>
      <c r="AB21" s="5"/>
      <c r="AC21" s="5"/>
      <c r="AD21" s="6"/>
    </row>
    <row r="22" customFormat="false" ht="30" hidden="false" customHeight="true" outlineLevel="0" collapsed="false">
      <c r="A22" s="9" t="n">
        <v>18</v>
      </c>
      <c r="B22" s="10"/>
      <c r="C22" s="10" t="s">
        <v>530</v>
      </c>
      <c r="D22" s="10" t="s">
        <v>531</v>
      </c>
      <c r="E22" s="10" t="s">
        <v>200</v>
      </c>
      <c r="F22" s="10" t="s">
        <v>37</v>
      </c>
      <c r="G22" s="11" t="n">
        <v>90000</v>
      </c>
      <c r="H22" s="11" t="n">
        <v>2857500000</v>
      </c>
      <c r="I22" s="10"/>
      <c r="J22" s="11" t="n">
        <v>31750</v>
      </c>
      <c r="K22" s="12" t="n">
        <v>44504</v>
      </c>
      <c r="L22" s="12" t="n">
        <v>44504</v>
      </c>
      <c r="M22" s="12"/>
      <c r="N22" s="12" t="n">
        <v>44524</v>
      </c>
      <c r="O22" s="12"/>
      <c r="P22" s="12" t="n">
        <v>44530</v>
      </c>
      <c r="Q22" s="12" t="n">
        <v>44552</v>
      </c>
      <c r="R22" s="12" t="n">
        <v>44559</v>
      </c>
      <c r="S22" s="12" t="n">
        <v>44546</v>
      </c>
      <c r="T22" s="12" t="s">
        <v>383</v>
      </c>
      <c r="U22" s="12" t="n">
        <v>44602</v>
      </c>
      <c r="V22" s="12"/>
      <c r="W22" s="10" t="s">
        <v>57</v>
      </c>
      <c r="X22" s="10" t="s">
        <v>473</v>
      </c>
      <c r="Y22" s="10" t="s">
        <v>532</v>
      </c>
      <c r="Z22" s="11"/>
      <c r="AA22" s="10"/>
      <c r="AB22" s="9"/>
      <c r="AC22" s="9"/>
      <c r="AD22" s="10"/>
    </row>
    <row r="23" customFormat="false" ht="30" hidden="false" customHeight="true" outlineLevel="0" collapsed="false">
      <c r="A23" s="5" t="n">
        <v>19</v>
      </c>
      <c r="B23" s="6"/>
      <c r="C23" s="6" t="s">
        <v>533</v>
      </c>
      <c r="D23" s="6" t="s">
        <v>476</v>
      </c>
      <c r="E23" s="6" t="s">
        <v>308</v>
      </c>
      <c r="F23" s="6" t="s">
        <v>37</v>
      </c>
      <c r="G23" s="7" t="n">
        <v>220000</v>
      </c>
      <c r="H23" s="7" t="n">
        <v>3630000000</v>
      </c>
      <c r="I23" s="6"/>
      <c r="J23" s="7" t="n">
        <v>16500</v>
      </c>
      <c r="K23" s="8" t="n">
        <v>44536</v>
      </c>
      <c r="L23" s="8" t="n">
        <v>44536</v>
      </c>
      <c r="M23" s="8"/>
      <c r="N23" s="8" t="n">
        <v>44586</v>
      </c>
      <c r="O23" s="8"/>
      <c r="P23" s="8" t="s">
        <v>383</v>
      </c>
      <c r="Q23" s="8" t="n">
        <v>44603</v>
      </c>
      <c r="R23" s="8" t="s">
        <v>383</v>
      </c>
      <c r="S23" s="8" t="n">
        <v>44603</v>
      </c>
      <c r="T23" s="8" t="s">
        <v>383</v>
      </c>
      <c r="U23" s="8" t="n">
        <v>44630</v>
      </c>
      <c r="V23" s="8"/>
      <c r="W23" s="6" t="s">
        <v>57</v>
      </c>
      <c r="X23" s="6" t="s">
        <v>473</v>
      </c>
      <c r="Y23" s="6" t="s">
        <v>534</v>
      </c>
      <c r="Z23" s="7"/>
      <c r="AA23" s="6"/>
      <c r="AB23" s="5"/>
      <c r="AC23" s="5"/>
      <c r="AD23" s="6"/>
    </row>
    <row r="24" customFormat="false" ht="30" hidden="false" customHeight="true" outlineLevel="0" collapsed="false">
      <c r="A24" s="9" t="n">
        <v>20</v>
      </c>
      <c r="B24" s="10"/>
      <c r="C24" s="10" t="s">
        <v>535</v>
      </c>
      <c r="D24" s="10" t="s">
        <v>536</v>
      </c>
      <c r="E24" s="10" t="s">
        <v>121</v>
      </c>
      <c r="F24" s="10" t="s">
        <v>37</v>
      </c>
      <c r="G24" s="11" t="n">
        <v>174724</v>
      </c>
      <c r="H24" s="11" t="n">
        <v>3415854200</v>
      </c>
      <c r="I24" s="10"/>
      <c r="J24" s="11" t="n">
        <v>19550</v>
      </c>
      <c r="K24" s="12" t="n">
        <v>44512</v>
      </c>
      <c r="L24" s="12" t="n">
        <v>44512</v>
      </c>
      <c r="M24" s="12"/>
      <c r="N24" s="12" t="n">
        <v>44558</v>
      </c>
      <c r="O24" s="12"/>
      <c r="P24" s="12" t="n">
        <v>44578</v>
      </c>
      <c r="Q24" s="12" t="n">
        <v>44578</v>
      </c>
      <c r="R24" s="12" t="n">
        <v>44578</v>
      </c>
      <c r="S24" s="12" t="n">
        <v>44578</v>
      </c>
      <c r="T24" s="12"/>
      <c r="U24" s="12" t="n">
        <v>44645</v>
      </c>
      <c r="V24" s="12"/>
      <c r="W24" s="10" t="s">
        <v>57</v>
      </c>
      <c r="X24" s="10"/>
      <c r="Y24" s="10" t="s">
        <v>537</v>
      </c>
      <c r="Z24" s="11"/>
      <c r="AA24" s="10"/>
      <c r="AB24" s="9"/>
      <c r="AC24" s="9"/>
      <c r="AD24" s="10"/>
    </row>
    <row r="25" customFormat="false" ht="30" hidden="false" customHeight="true" outlineLevel="0" collapsed="false">
      <c r="A25" s="5" t="n">
        <v>21</v>
      </c>
      <c r="B25" s="6"/>
      <c r="C25" s="6" t="s">
        <v>538</v>
      </c>
      <c r="D25" s="6" t="s">
        <v>539</v>
      </c>
      <c r="E25" s="6" t="s">
        <v>187</v>
      </c>
      <c r="F25" s="6" t="s">
        <v>37</v>
      </c>
      <c r="G25" s="7" t="n">
        <v>36000</v>
      </c>
      <c r="H25" s="7" t="n">
        <v>1944000000</v>
      </c>
      <c r="I25" s="6"/>
      <c r="J25" s="7" t="n">
        <v>54000</v>
      </c>
      <c r="K25" s="8" t="n">
        <v>44412</v>
      </c>
      <c r="L25" s="8" t="n">
        <v>44412</v>
      </c>
      <c r="M25" s="8"/>
      <c r="N25" s="8" t="n">
        <v>44455</v>
      </c>
      <c r="O25" s="8"/>
      <c r="P25" s="8" t="n">
        <v>44510</v>
      </c>
      <c r="Q25" s="8" t="n">
        <v>44483</v>
      </c>
      <c r="R25" s="8" t="n">
        <v>44483</v>
      </c>
      <c r="S25" s="8" t="n">
        <v>44483</v>
      </c>
      <c r="T25" s="8" t="n">
        <v>44581</v>
      </c>
      <c r="U25" s="8" t="n">
        <v>44630</v>
      </c>
      <c r="V25" s="8"/>
      <c r="W25" s="6" t="s">
        <v>57</v>
      </c>
      <c r="X25" s="6" t="s">
        <v>473</v>
      </c>
      <c r="Y25" s="6" t="s">
        <v>537</v>
      </c>
      <c r="Z25" s="7"/>
      <c r="AA25" s="6"/>
      <c r="AB25" s="5"/>
      <c r="AC25" s="5"/>
      <c r="AD25" s="6"/>
    </row>
    <row r="26" customFormat="false" ht="30" hidden="false" customHeight="true" outlineLevel="0" collapsed="false">
      <c r="A26" s="9" t="n">
        <v>22</v>
      </c>
      <c r="B26" s="10"/>
      <c r="C26" s="10" t="s">
        <v>540</v>
      </c>
      <c r="D26" s="10" t="s">
        <v>526</v>
      </c>
      <c r="E26" s="10" t="s">
        <v>308</v>
      </c>
      <c r="F26" s="10" t="s">
        <v>37</v>
      </c>
      <c r="G26" s="11" t="n">
        <v>47000</v>
      </c>
      <c r="H26" s="11" t="n">
        <v>1480500000</v>
      </c>
      <c r="I26" s="10"/>
      <c r="J26" s="11" t="n">
        <v>31500</v>
      </c>
      <c r="K26" s="12" t="n">
        <v>44421</v>
      </c>
      <c r="L26" s="12" t="n">
        <v>44421</v>
      </c>
      <c r="M26" s="12"/>
      <c r="N26" s="12" t="n">
        <v>44440</v>
      </c>
      <c r="O26" s="12"/>
      <c r="P26" s="12" t="s">
        <v>383</v>
      </c>
      <c r="Q26" s="12" t="n">
        <v>44497</v>
      </c>
      <c r="R26" s="12" t="s">
        <v>383</v>
      </c>
      <c r="S26" s="12" t="n">
        <v>44454</v>
      </c>
      <c r="T26" s="12" t="s">
        <v>383</v>
      </c>
      <c r="U26" s="12" t="n">
        <v>44546</v>
      </c>
      <c r="V26" s="12"/>
      <c r="W26" s="10" t="s">
        <v>171</v>
      </c>
      <c r="X26" s="10" t="s">
        <v>473</v>
      </c>
      <c r="Y26" s="10" t="s">
        <v>541</v>
      </c>
      <c r="Z26" s="11" t="n">
        <v>1346550000</v>
      </c>
      <c r="AA26" s="10"/>
      <c r="AB26" s="9"/>
      <c r="AC26" s="9"/>
      <c r="AD26" s="10"/>
    </row>
    <row r="27" customFormat="false" ht="30" hidden="false" customHeight="true" outlineLevel="0" collapsed="false">
      <c r="A27" s="5" t="n">
        <v>23</v>
      </c>
      <c r="B27" s="6"/>
      <c r="C27" s="6" t="s">
        <v>542</v>
      </c>
      <c r="D27" s="6" t="s">
        <v>543</v>
      </c>
      <c r="E27" s="6" t="s">
        <v>187</v>
      </c>
      <c r="F27" s="6" t="s">
        <v>37</v>
      </c>
      <c r="G27" s="7"/>
      <c r="H27" s="7"/>
      <c r="I27" s="6"/>
      <c r="J27" s="7"/>
      <c r="K27" s="8" t="n">
        <v>44533</v>
      </c>
      <c r="L27" s="8" t="n">
        <v>44533</v>
      </c>
      <c r="M27" s="8"/>
      <c r="N27" s="8"/>
      <c r="O27" s="8"/>
      <c r="P27" s="8"/>
      <c r="Q27" s="8"/>
      <c r="R27" s="8"/>
      <c r="S27" s="8"/>
      <c r="T27" s="8"/>
      <c r="U27" s="8"/>
      <c r="V27" s="8"/>
      <c r="W27" s="6"/>
      <c r="X27" s="6" t="s">
        <v>473</v>
      </c>
      <c r="Y27" s="6" t="s">
        <v>544</v>
      </c>
      <c r="Z27" s="7"/>
      <c r="AA27" s="6"/>
      <c r="AB27" s="5"/>
      <c r="AC27" s="5"/>
      <c r="AD27" s="6"/>
    </row>
    <row r="28" customFormat="false" ht="30" hidden="false" customHeight="true" outlineLevel="0" collapsed="false">
      <c r="A28" s="9" t="n">
        <v>24</v>
      </c>
      <c r="B28" s="10"/>
      <c r="C28" s="10" t="s">
        <v>545</v>
      </c>
      <c r="D28" s="10" t="s">
        <v>522</v>
      </c>
      <c r="E28" s="10" t="s">
        <v>546</v>
      </c>
      <c r="F28" s="10" t="s">
        <v>37</v>
      </c>
      <c r="G28" s="11"/>
      <c r="H28" s="11"/>
      <c r="I28" s="10"/>
      <c r="J28" s="11"/>
      <c r="K28" s="12" t="n">
        <v>44561</v>
      </c>
      <c r="L28" s="12" t="n">
        <v>44561</v>
      </c>
      <c r="M28" s="12"/>
      <c r="N28" s="12"/>
      <c r="O28" s="12"/>
      <c r="P28" s="12"/>
      <c r="Q28" s="12"/>
      <c r="R28" s="12"/>
      <c r="S28" s="12"/>
      <c r="T28" s="12"/>
      <c r="U28" s="12"/>
      <c r="V28" s="12"/>
      <c r="W28" s="10"/>
      <c r="X28" s="10"/>
      <c r="Y28" s="10" t="s">
        <v>544</v>
      </c>
      <c r="Z28" s="11"/>
      <c r="AA28" s="10"/>
      <c r="AB28" s="9"/>
      <c r="AC28" s="9"/>
      <c r="AD28" s="10"/>
    </row>
    <row r="29" customFormat="false" ht="30" hidden="false" customHeight="true" outlineLevel="0" collapsed="false">
      <c r="A29" s="5" t="n">
        <v>25</v>
      </c>
      <c r="B29" s="6"/>
      <c r="C29" s="6" t="s">
        <v>547</v>
      </c>
      <c r="D29" s="6" t="s">
        <v>526</v>
      </c>
      <c r="E29" s="6" t="s">
        <v>423</v>
      </c>
      <c r="F29" s="6" t="s">
        <v>37</v>
      </c>
      <c r="G29" s="7" t="n">
        <v>210000</v>
      </c>
      <c r="H29" s="7" t="n">
        <v>4693500000</v>
      </c>
      <c r="I29" s="6"/>
      <c r="J29" s="7" t="n">
        <v>22350</v>
      </c>
      <c r="K29" s="8" t="n">
        <v>44600</v>
      </c>
      <c r="L29" s="8" t="n">
        <v>44600</v>
      </c>
      <c r="M29" s="8"/>
      <c r="N29" s="8" t="n">
        <v>44624</v>
      </c>
      <c r="O29" s="8"/>
      <c r="P29" s="8"/>
      <c r="Q29" s="8" t="n">
        <v>44655</v>
      </c>
      <c r="R29" s="8"/>
      <c r="S29" s="8" t="n">
        <v>44655</v>
      </c>
      <c r="T29" s="8"/>
      <c r="U29" s="8"/>
      <c r="V29" s="8"/>
      <c r="W29" s="6"/>
      <c r="X29" s="6"/>
      <c r="Y29" s="6" t="s">
        <v>548</v>
      </c>
      <c r="Z29" s="7" t="n">
        <v>3696000000</v>
      </c>
      <c r="AA29" s="6"/>
      <c r="AB29" s="5"/>
      <c r="AC29" s="5"/>
      <c r="AD29" s="6"/>
    </row>
    <row r="30" customFormat="false" ht="30" hidden="false" customHeight="true" outlineLevel="0" collapsed="false">
      <c r="A30" s="9" t="n">
        <v>26</v>
      </c>
      <c r="B30" s="10"/>
      <c r="C30" s="10" t="s">
        <v>549</v>
      </c>
      <c r="D30" s="10" t="s">
        <v>480</v>
      </c>
      <c r="E30" s="10" t="s">
        <v>519</v>
      </c>
      <c r="F30" s="10" t="s">
        <v>37</v>
      </c>
      <c r="G30" s="11"/>
      <c r="H30" s="11"/>
      <c r="I30" s="10"/>
      <c r="J30" s="11"/>
      <c r="K30" s="12" t="n">
        <v>44636</v>
      </c>
      <c r="L30" s="12" t="n">
        <v>44636</v>
      </c>
      <c r="M30" s="12"/>
      <c r="N30" s="12"/>
      <c r="O30" s="12"/>
      <c r="P30" s="12"/>
      <c r="Q30" s="12"/>
      <c r="R30" s="12"/>
      <c r="S30" s="12"/>
      <c r="T30" s="12"/>
      <c r="U30" s="12"/>
      <c r="V30" s="12"/>
      <c r="W30" s="10"/>
      <c r="X30" s="10"/>
      <c r="Y30" s="10" t="s">
        <v>550</v>
      </c>
      <c r="Z30" s="11"/>
      <c r="AA30" s="10"/>
      <c r="AB30" s="9"/>
      <c r="AC30" s="9"/>
      <c r="AD30" s="10"/>
    </row>
    <row r="31" customFormat="false" ht="30" hidden="false" customHeight="true" outlineLevel="0" collapsed="false">
      <c r="A31" s="5" t="n">
        <v>27</v>
      </c>
      <c r="B31" s="6"/>
      <c r="C31" s="6" t="s">
        <v>551</v>
      </c>
      <c r="D31" s="6" t="s">
        <v>181</v>
      </c>
      <c r="E31" s="6" t="s">
        <v>423</v>
      </c>
      <c r="F31" s="6" t="s">
        <v>37</v>
      </c>
      <c r="G31" s="7"/>
      <c r="H31" s="7"/>
      <c r="I31" s="6"/>
      <c r="J31" s="7"/>
      <c r="K31" s="8" t="n">
        <v>44636</v>
      </c>
      <c r="L31" s="8" t="n">
        <v>44655</v>
      </c>
      <c r="M31" s="8"/>
      <c r="N31" s="8"/>
      <c r="O31" s="8"/>
      <c r="P31" s="8"/>
      <c r="Q31" s="8"/>
      <c r="R31" s="8"/>
      <c r="S31" s="8"/>
      <c r="T31" s="8"/>
      <c r="U31" s="8"/>
      <c r="V31" s="8"/>
      <c r="W31" s="6"/>
      <c r="X31" s="6"/>
      <c r="Y31" s="6" t="s">
        <v>544</v>
      </c>
      <c r="Z31" s="7"/>
      <c r="AA31" s="6"/>
      <c r="AB31" s="5"/>
      <c r="AC31" s="5"/>
      <c r="AD31" s="6"/>
    </row>
    <row r="32" customFormat="false" ht="30" hidden="false" customHeight="true" outlineLevel="0" collapsed="false">
      <c r="A32" s="9" t="n">
        <v>28</v>
      </c>
      <c r="B32" s="10"/>
      <c r="C32" s="10" t="s">
        <v>552</v>
      </c>
      <c r="D32" s="10" t="s">
        <v>495</v>
      </c>
      <c r="E32" s="10" t="s">
        <v>553</v>
      </c>
      <c r="F32" s="10" t="s">
        <v>37</v>
      </c>
      <c r="G32" s="11"/>
      <c r="H32" s="11"/>
      <c r="I32" s="10"/>
      <c r="J32" s="11"/>
      <c r="K32" s="12" t="n">
        <v>44648</v>
      </c>
      <c r="L32" s="12" t="n">
        <v>44648</v>
      </c>
      <c r="M32" s="12"/>
      <c r="N32" s="12" t="n">
        <v>44694</v>
      </c>
      <c r="O32" s="12"/>
      <c r="P32" s="12"/>
      <c r="Q32" s="12"/>
      <c r="R32" s="12"/>
      <c r="S32" s="12"/>
      <c r="T32" s="12"/>
      <c r="U32" s="12"/>
      <c r="V32" s="12"/>
      <c r="W32" s="10"/>
      <c r="X32" s="10"/>
      <c r="Y32" s="10" t="s">
        <v>550</v>
      </c>
      <c r="Z32" s="11"/>
      <c r="AA32" s="10"/>
      <c r="AB32" s="9"/>
      <c r="AC32" s="9"/>
      <c r="AD32" s="10"/>
    </row>
    <row r="33" customFormat="false" ht="30" hidden="false" customHeight="true" outlineLevel="0" collapsed="false">
      <c r="A33" s="5" t="n">
        <v>29</v>
      </c>
      <c r="B33" s="6"/>
      <c r="C33" s="6" t="s">
        <v>554</v>
      </c>
      <c r="D33" s="6" t="s">
        <v>555</v>
      </c>
      <c r="E33" s="6" t="s">
        <v>200</v>
      </c>
      <c r="F33" s="6" t="s">
        <v>37</v>
      </c>
      <c r="G33" s="7" t="n">
        <v>200000</v>
      </c>
      <c r="H33" s="7" t="n">
        <v>7800000000</v>
      </c>
      <c r="I33" s="6"/>
      <c r="J33" s="7" t="n">
        <v>39000</v>
      </c>
      <c r="K33" s="8" t="n">
        <v>44657</v>
      </c>
      <c r="L33" s="8" t="n">
        <v>44657</v>
      </c>
      <c r="M33" s="8"/>
      <c r="N33" s="8" t="n">
        <v>44677</v>
      </c>
      <c r="O33" s="8"/>
      <c r="P33" s="8"/>
      <c r="Q33" s="8" t="n">
        <v>44706</v>
      </c>
      <c r="R33" s="8"/>
      <c r="S33" s="8" t="n">
        <v>44706</v>
      </c>
      <c r="T33" s="8"/>
      <c r="U33" s="8"/>
      <c r="V33" s="8"/>
      <c r="W33" s="6"/>
      <c r="X33" s="6"/>
      <c r="Y33" s="6" t="s">
        <v>556</v>
      </c>
      <c r="Z33" s="7"/>
      <c r="AA33" s="6"/>
      <c r="AB33" s="5"/>
      <c r="AC33" s="5"/>
      <c r="AD33" s="6"/>
    </row>
    <row r="35" customFormat="false" ht="15" hidden="false" customHeight="false" outlineLevel="0" collapsed="false">
      <c r="C35" s="13" t="s">
        <v>161</v>
      </c>
    </row>
    <row r="36" customFormat="false" ht="15" hidden="false" customHeight="false" outlineLevel="0" collapsed="false">
      <c r="A36" s="14"/>
      <c r="C36" s="15" t="s">
        <v>162</v>
      </c>
    </row>
    <row r="37" customFormat="false" ht="15" hidden="false" customHeight="false" outlineLevel="0" collapsed="false">
      <c r="A37" s="16"/>
      <c r="C37" s="15" t="s">
        <v>163</v>
      </c>
    </row>
    <row r="38" customFormat="false" ht="15" hidden="false" customHeight="false" outlineLevel="0" collapsed="false">
      <c r="A38" s="17"/>
      <c r="C38" s="15" t="s">
        <v>164</v>
      </c>
    </row>
    <row r="40" customFormat="false" ht="15" hidden="false" customHeight="false" outlineLevel="0" collapsed="false">
      <c r="C40" s="2" t="s">
        <v>165</v>
      </c>
    </row>
  </sheetData>
  <autoFilter ref="A4:AD33"/>
  <mergeCells count="2">
    <mergeCell ref="K3:V3"/>
    <mergeCell ref="AA3:AC3"/>
  </mergeCells>
  <conditionalFormatting sqref="K5:V33">
    <cfRule type="expression" priority="2" aboveAverage="0" equalAverage="0" bottom="0" percent="0" rank="0" text="" dxfId="5">
      <formula>AND(K5&lt;&gt;"",$W5="",K5&gt;TODAY(),K5&lt;=TODAY()+7)</formula>
    </cfRule>
    <cfRule type="expression" priority="3" aboveAverage="0" equalAverage="0" bottom="0" percent="0" rank="0" text="" dxfId="6">
      <formula>AND(K5&lt;&gt;"",$W5="",K5&gt;TODAY()+7,K5&lt;=TODAY()+14)</formula>
    </cfRule>
    <cfRule type="expression" priority="4" aboveAverage="0" equalAverage="0" bottom="0" percent="0" rank="0" text="" dxfId="7">
      <formula>AND(K5&lt;&gt;"",K5&lt;=TODAY())</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2"/>
    <col collapsed="false" customWidth="true" hidden="false" outlineLevel="0" max="4" min="4" style="0" width="30"/>
    <col collapsed="false" customWidth="true" hidden="false" outlineLevel="0" max="5" min="5" style="0" width="48"/>
    <col collapsed="false" customWidth="true" hidden="false" outlineLevel="0" max="6" min="6" style="0" width="16"/>
    <col collapsed="false" customWidth="true" hidden="false" outlineLevel="0" max="7" min="7" style="0" width="14"/>
    <col collapsed="false" customWidth="true" hidden="false" outlineLevel="0" max="8" min="8" style="0" width="18"/>
    <col collapsed="false" customWidth="true" hidden="false" outlineLevel="0" max="9" min="9" style="0" width="16"/>
    <col collapsed="false" customWidth="true" hidden="false" outlineLevel="0" max="10" min="10" style="0" width="12"/>
    <col collapsed="false" customWidth="true" hidden="false" outlineLevel="0" max="22" min="11" style="0" width="11"/>
    <col collapsed="false" customWidth="true" hidden="false" outlineLevel="0" max="23" min="23" style="0" width="26"/>
    <col collapsed="false" customWidth="true" hidden="false" outlineLevel="0" max="24" min="24" style="0" width="24"/>
    <col collapsed="false" customWidth="true" hidden="false" outlineLevel="0" max="25" min="25" style="0" width="55"/>
    <col collapsed="false" customWidth="true" hidden="false" outlineLevel="0" max="26" min="26" style="0" width="20"/>
    <col collapsed="false" customWidth="true" hidden="false" outlineLevel="0" max="27" min="27" style="0" width="30"/>
    <col collapsed="false" customWidth="true" hidden="false" outlineLevel="0" max="28" min="28" style="0" width="8"/>
    <col collapsed="false" customWidth="true" hidden="false" outlineLevel="0" max="29" min="29" style="0" width="14"/>
    <col collapsed="false" customWidth="true" hidden="false" outlineLevel="0" max="30" min="30" style="0" width="26"/>
  </cols>
  <sheetData>
    <row r="1" customFormat="false" ht="17.35" hidden="false" customHeight="false" outlineLevel="0" collapsed="false">
      <c r="A1" s="1" t="s">
        <v>0</v>
      </c>
    </row>
    <row r="2" customFormat="false" ht="15" hidden="false" customHeight="false" outlineLevel="0" collapsed="false">
      <c r="A2" s="2" t="s">
        <v>557</v>
      </c>
    </row>
    <row r="3" customFormat="false" ht="18" hidden="false" customHeight="true" outlineLevel="0" collapsed="false">
      <c r="A3" s="3"/>
      <c r="B3" s="3"/>
      <c r="C3" s="3"/>
      <c r="D3" s="3"/>
      <c r="E3" s="3"/>
      <c r="F3" s="3"/>
      <c r="G3" s="3"/>
      <c r="H3" s="3"/>
      <c r="I3" s="3"/>
      <c r="J3" s="3"/>
      <c r="K3" s="3" t="s">
        <v>2</v>
      </c>
      <c r="L3" s="3"/>
      <c r="M3" s="3"/>
      <c r="N3" s="3"/>
      <c r="O3" s="3"/>
      <c r="P3" s="3"/>
      <c r="Q3" s="3"/>
      <c r="R3" s="3"/>
      <c r="S3" s="3"/>
      <c r="T3" s="3"/>
      <c r="U3" s="3"/>
      <c r="V3" s="3"/>
      <c r="W3" s="3"/>
      <c r="X3" s="3"/>
      <c r="Y3" s="3"/>
      <c r="Z3" s="3"/>
      <c r="AA3" s="3" t="s">
        <v>3</v>
      </c>
      <c r="AB3" s="3"/>
      <c r="AC3" s="3"/>
      <c r="AD3" s="3"/>
    </row>
    <row r="4" customFormat="false" ht="45.75" hidden="false" customHeight="true" outlineLevel="0" collapsed="false">
      <c r="A4" s="4" t="s">
        <v>4</v>
      </c>
      <c r="B4" s="4" t="s">
        <v>5</v>
      </c>
      <c r="C4" s="4" t="s">
        <v>6</v>
      </c>
      <c r="D4" s="4" t="s">
        <v>7</v>
      </c>
      <c r="E4" s="4" t="s">
        <v>8</v>
      </c>
      <c r="F4" s="4" t="s">
        <v>9</v>
      </c>
      <c r="G4" s="4" t="s">
        <v>10</v>
      </c>
      <c r="H4" s="4" t="s">
        <v>11</v>
      </c>
      <c r="I4" s="4" t="s">
        <v>12</v>
      </c>
      <c r="J4" s="4" t="s">
        <v>13</v>
      </c>
      <c r="K4" s="4" t="s">
        <v>14</v>
      </c>
      <c r="L4" s="4" t="s">
        <v>15</v>
      </c>
      <c r="M4" s="4" t="s">
        <v>16</v>
      </c>
      <c r="N4" s="4" t="s">
        <v>17</v>
      </c>
      <c r="O4" s="4" t="s">
        <v>18</v>
      </c>
      <c r="P4" s="4" t="s">
        <v>19</v>
      </c>
      <c r="Q4" s="4" t="s">
        <v>20</v>
      </c>
      <c r="R4" s="4" t="s">
        <v>21</v>
      </c>
      <c r="S4" s="4" t="s">
        <v>22</v>
      </c>
      <c r="T4" s="4" t="s">
        <v>23</v>
      </c>
      <c r="U4" s="4" t="s">
        <v>24</v>
      </c>
      <c r="V4" s="4" t="s">
        <v>25</v>
      </c>
      <c r="W4" s="4" t="s">
        <v>26</v>
      </c>
      <c r="X4" s="4" t="s">
        <v>27</v>
      </c>
      <c r="Y4" s="4" t="s">
        <v>28</v>
      </c>
      <c r="Z4" s="4" t="s">
        <v>29</v>
      </c>
      <c r="AA4" s="4" t="s">
        <v>30</v>
      </c>
      <c r="AB4" s="4" t="s">
        <v>31</v>
      </c>
      <c r="AC4" s="4" t="s">
        <v>32</v>
      </c>
      <c r="AD4" s="4" t="s">
        <v>33</v>
      </c>
    </row>
    <row r="5" customFormat="false" ht="30" hidden="false" customHeight="true" outlineLevel="0" collapsed="false">
      <c r="A5" s="5" t="n">
        <v>1</v>
      </c>
      <c r="B5" s="6"/>
      <c r="C5" s="6" t="s">
        <v>558</v>
      </c>
      <c r="D5" s="6" t="s">
        <v>181</v>
      </c>
      <c r="E5" s="6" t="s">
        <v>559</v>
      </c>
      <c r="F5" s="6" t="s">
        <v>560</v>
      </c>
      <c r="G5" s="7"/>
      <c r="H5" s="7"/>
      <c r="I5" s="6"/>
      <c r="J5" s="7"/>
      <c r="K5" s="8" t="n">
        <v>44034</v>
      </c>
      <c r="L5" s="8" t="n">
        <v>44036</v>
      </c>
      <c r="M5" s="8"/>
      <c r="N5" s="8"/>
      <c r="O5" s="8"/>
      <c r="P5" s="8"/>
      <c r="Q5" s="8"/>
      <c r="R5" s="8"/>
      <c r="S5" s="8"/>
      <c r="T5" s="8"/>
      <c r="U5" s="8"/>
      <c r="V5" s="8"/>
      <c r="W5" s="6" t="s">
        <v>99</v>
      </c>
      <c r="X5" s="6"/>
      <c r="Y5" s="6" t="s">
        <v>561</v>
      </c>
      <c r="Z5" s="7"/>
      <c r="AA5" s="6"/>
      <c r="AB5" s="5"/>
      <c r="AC5" s="5"/>
      <c r="AD5" s="6"/>
    </row>
    <row r="6" customFormat="false" ht="30" hidden="false" customHeight="true" outlineLevel="0" collapsed="false">
      <c r="A6" s="9" t="n">
        <v>2</v>
      </c>
      <c r="B6" s="10"/>
      <c r="C6" s="10" t="s">
        <v>562</v>
      </c>
      <c r="D6" s="10" t="s">
        <v>563</v>
      </c>
      <c r="E6" s="10" t="s">
        <v>564</v>
      </c>
      <c r="F6" s="10" t="s">
        <v>560</v>
      </c>
      <c r="G6" s="11"/>
      <c r="H6" s="11"/>
      <c r="I6" s="10"/>
      <c r="J6" s="11"/>
      <c r="K6" s="12" t="n">
        <v>44053</v>
      </c>
      <c r="L6" s="12" t="n">
        <v>44053</v>
      </c>
      <c r="M6" s="12"/>
      <c r="N6" s="12"/>
      <c r="O6" s="12"/>
      <c r="P6" s="12"/>
      <c r="Q6" s="12"/>
      <c r="R6" s="12"/>
      <c r="S6" s="12"/>
      <c r="T6" s="12"/>
      <c r="U6" s="12"/>
      <c r="V6" s="12"/>
      <c r="W6" s="10" t="s">
        <v>99</v>
      </c>
      <c r="X6" s="10"/>
      <c r="Y6" s="10"/>
      <c r="Z6" s="11"/>
      <c r="AA6" s="10"/>
      <c r="AB6" s="9"/>
      <c r="AC6" s="9"/>
      <c r="AD6" s="10"/>
    </row>
    <row r="7" customFormat="false" ht="30" hidden="false" customHeight="true" outlineLevel="0" collapsed="false">
      <c r="A7" s="5" t="n">
        <v>3</v>
      </c>
      <c r="B7" s="6"/>
      <c r="C7" s="6" t="s">
        <v>505</v>
      </c>
      <c r="D7" s="6" t="s">
        <v>565</v>
      </c>
      <c r="E7" s="6" t="s">
        <v>507</v>
      </c>
      <c r="F7" s="6" t="s">
        <v>37</v>
      </c>
      <c r="G7" s="7"/>
      <c r="H7" s="7"/>
      <c r="I7" s="6"/>
      <c r="J7" s="7"/>
      <c r="K7" s="8" t="n">
        <v>44124</v>
      </c>
      <c r="L7" s="8" t="n">
        <v>44124</v>
      </c>
      <c r="M7" s="8"/>
      <c r="N7" s="8"/>
      <c r="O7" s="8"/>
      <c r="P7" s="8"/>
      <c r="Q7" s="8"/>
      <c r="R7" s="8"/>
      <c r="S7" s="8"/>
      <c r="T7" s="8"/>
      <c r="U7" s="8"/>
      <c r="V7" s="8"/>
      <c r="W7" s="6" t="s">
        <v>99</v>
      </c>
      <c r="X7" s="6" t="s">
        <v>566</v>
      </c>
      <c r="Y7" s="6"/>
      <c r="Z7" s="7"/>
      <c r="AA7" s="6"/>
      <c r="AB7" s="5"/>
      <c r="AC7" s="5"/>
      <c r="AD7" s="6"/>
    </row>
    <row r="8" customFormat="false" ht="30" hidden="false" customHeight="true" outlineLevel="0" collapsed="false">
      <c r="A8" s="9" t="n">
        <v>4</v>
      </c>
      <c r="B8" s="10"/>
      <c r="C8" s="10" t="s">
        <v>567</v>
      </c>
      <c r="D8" s="10" t="s">
        <v>568</v>
      </c>
      <c r="E8" s="10" t="s">
        <v>569</v>
      </c>
      <c r="F8" s="10" t="s">
        <v>560</v>
      </c>
      <c r="G8" s="11"/>
      <c r="H8" s="11"/>
      <c r="I8" s="10"/>
      <c r="J8" s="11"/>
      <c r="K8" s="12" t="n">
        <v>44147</v>
      </c>
      <c r="L8" s="12"/>
      <c r="M8" s="12"/>
      <c r="N8" s="12"/>
      <c r="O8" s="12"/>
      <c r="P8" s="12"/>
      <c r="Q8" s="12"/>
      <c r="R8" s="12"/>
      <c r="S8" s="12"/>
      <c r="T8" s="12"/>
      <c r="U8" s="12"/>
      <c r="V8" s="12"/>
      <c r="W8" s="10" t="s">
        <v>99</v>
      </c>
      <c r="X8" s="10"/>
      <c r="Y8" s="10"/>
      <c r="Z8" s="11"/>
      <c r="AA8" s="10"/>
      <c r="AB8" s="9"/>
      <c r="AC8" s="9"/>
      <c r="AD8" s="10"/>
    </row>
    <row r="9" customFormat="false" ht="30" hidden="false" customHeight="true" outlineLevel="0" collapsed="false">
      <c r="A9" s="5" t="n">
        <v>5</v>
      </c>
      <c r="B9" s="6"/>
      <c r="C9" s="6" t="s">
        <v>570</v>
      </c>
      <c r="D9" s="6" t="s">
        <v>571</v>
      </c>
      <c r="E9" s="6" t="s">
        <v>572</v>
      </c>
      <c r="F9" s="6" t="s">
        <v>560</v>
      </c>
      <c r="G9" s="7"/>
      <c r="H9" s="7"/>
      <c r="I9" s="6"/>
      <c r="J9" s="7"/>
      <c r="K9" s="8" t="n">
        <v>44432</v>
      </c>
      <c r="L9" s="8" t="n">
        <v>44432</v>
      </c>
      <c r="M9" s="8"/>
      <c r="N9" s="8"/>
      <c r="O9" s="8"/>
      <c r="P9" s="8"/>
      <c r="Q9" s="8"/>
      <c r="R9" s="8"/>
      <c r="S9" s="8"/>
      <c r="T9" s="8"/>
      <c r="U9" s="8"/>
      <c r="V9" s="8"/>
      <c r="W9" s="6" t="s">
        <v>99</v>
      </c>
      <c r="X9" s="6"/>
      <c r="Y9" s="6"/>
      <c r="Z9" s="7"/>
      <c r="AA9" s="6"/>
      <c r="AB9" s="5"/>
      <c r="AC9" s="5"/>
      <c r="AD9" s="6"/>
    </row>
    <row r="10" customFormat="false" ht="30" hidden="false" customHeight="true" outlineLevel="0" collapsed="false">
      <c r="A10" s="9" t="n">
        <v>6</v>
      </c>
      <c r="B10" s="10"/>
      <c r="C10" s="10" t="s">
        <v>573</v>
      </c>
      <c r="D10" s="10" t="s">
        <v>574</v>
      </c>
      <c r="E10" s="10" t="s">
        <v>575</v>
      </c>
      <c r="F10" s="10" t="s">
        <v>560</v>
      </c>
      <c r="G10" s="11" t="n">
        <v>3000</v>
      </c>
      <c r="H10" s="11" t="n">
        <v>25093250000</v>
      </c>
      <c r="I10" s="10"/>
      <c r="J10" s="11"/>
      <c r="K10" s="12" t="n">
        <v>44165</v>
      </c>
      <c r="L10" s="12" t="n">
        <v>44165</v>
      </c>
      <c r="M10" s="12"/>
      <c r="N10" s="12" t="n">
        <v>44273</v>
      </c>
      <c r="O10" s="12"/>
      <c r="P10" s="12"/>
      <c r="Q10" s="12"/>
      <c r="R10" s="12"/>
      <c r="S10" s="12"/>
      <c r="T10" s="12"/>
      <c r="U10" s="12" t="n">
        <v>44287</v>
      </c>
      <c r="V10" s="12"/>
      <c r="W10" s="10" t="s">
        <v>99</v>
      </c>
      <c r="X10" s="10"/>
      <c r="Y10" s="10" t="s">
        <v>576</v>
      </c>
      <c r="Z10" s="11"/>
      <c r="AA10" s="10"/>
      <c r="AB10" s="9"/>
      <c r="AC10" s="9"/>
      <c r="AD10" s="10"/>
    </row>
    <row r="11" customFormat="false" ht="30" hidden="false" customHeight="true" outlineLevel="0" collapsed="false">
      <c r="A11" s="5" t="n">
        <v>7</v>
      </c>
      <c r="B11" s="6"/>
      <c r="C11" s="6" t="s">
        <v>577</v>
      </c>
      <c r="D11" s="6" t="s">
        <v>578</v>
      </c>
      <c r="E11" s="6" t="s">
        <v>579</v>
      </c>
      <c r="F11" s="6" t="s">
        <v>560</v>
      </c>
      <c r="G11" s="7"/>
      <c r="H11" s="7" t="n">
        <v>24000000000</v>
      </c>
      <c r="I11" s="6"/>
      <c r="J11" s="7"/>
      <c r="K11" s="8" t="n">
        <v>44362</v>
      </c>
      <c r="L11" s="8" t="n">
        <v>44362</v>
      </c>
      <c r="M11" s="8"/>
      <c r="N11" s="8" t="n">
        <v>44396</v>
      </c>
      <c r="O11" s="8"/>
      <c r="P11" s="8"/>
      <c r="Q11" s="8"/>
      <c r="R11" s="8"/>
      <c r="S11" s="8"/>
      <c r="T11" s="8"/>
      <c r="U11" s="8" t="n">
        <v>44490</v>
      </c>
      <c r="V11" s="8"/>
      <c r="W11" s="6" t="s">
        <v>99</v>
      </c>
      <c r="X11" s="6"/>
      <c r="Y11" s="6" t="s">
        <v>580</v>
      </c>
      <c r="Z11" s="7"/>
      <c r="AA11" s="6"/>
      <c r="AB11" s="5"/>
      <c r="AC11" s="5"/>
      <c r="AD11" s="6"/>
    </row>
    <row r="12" customFormat="false" ht="30" hidden="false" customHeight="true" outlineLevel="0" collapsed="false">
      <c r="A12" s="9" t="n">
        <v>8</v>
      </c>
      <c r="B12" s="10"/>
      <c r="C12" s="10" t="s">
        <v>581</v>
      </c>
      <c r="D12" s="10" t="s">
        <v>582</v>
      </c>
      <c r="E12" s="10" t="s">
        <v>583</v>
      </c>
      <c r="F12" s="10" t="s">
        <v>560</v>
      </c>
      <c r="G12" s="11"/>
      <c r="H12" s="11"/>
      <c r="I12" s="10"/>
      <c r="J12" s="11"/>
      <c r="K12" s="12" t="n">
        <v>44427</v>
      </c>
      <c r="L12" s="12" t="n">
        <v>44431</v>
      </c>
      <c r="M12" s="12"/>
      <c r="N12" s="12" t="n">
        <v>44482</v>
      </c>
      <c r="O12" s="12"/>
      <c r="P12" s="12"/>
      <c r="Q12" s="12"/>
      <c r="R12" s="12"/>
      <c r="S12" s="12"/>
      <c r="T12" s="12"/>
      <c r="U12" s="12"/>
      <c r="V12" s="12"/>
      <c r="W12" s="10" t="s">
        <v>99</v>
      </c>
      <c r="X12" s="10"/>
      <c r="Y12" s="10" t="s">
        <v>580</v>
      </c>
      <c r="Z12" s="11"/>
      <c r="AA12" s="10"/>
      <c r="AB12" s="9"/>
      <c r="AC12" s="9"/>
      <c r="AD12" s="10"/>
    </row>
    <row r="13" customFormat="false" ht="30" hidden="false" customHeight="true" outlineLevel="0" collapsed="false">
      <c r="A13" s="5" t="n">
        <v>9</v>
      </c>
      <c r="B13" s="6"/>
      <c r="C13" s="6" t="s">
        <v>584</v>
      </c>
      <c r="D13" s="6" t="s">
        <v>585</v>
      </c>
      <c r="E13" s="6" t="s">
        <v>586</v>
      </c>
      <c r="F13" s="6" t="s">
        <v>587</v>
      </c>
      <c r="G13" s="7"/>
      <c r="H13" s="7"/>
      <c r="I13" s="6"/>
      <c r="J13" s="7"/>
      <c r="K13" s="8" t="n">
        <v>44260</v>
      </c>
      <c r="L13" s="8" t="n">
        <v>44260</v>
      </c>
      <c r="M13" s="8"/>
      <c r="N13" s="8"/>
      <c r="O13" s="8"/>
      <c r="P13" s="8"/>
      <c r="Q13" s="8"/>
      <c r="R13" s="8"/>
      <c r="S13" s="8"/>
      <c r="T13" s="8"/>
      <c r="U13" s="8"/>
      <c r="V13" s="8"/>
      <c r="W13" s="6" t="s">
        <v>99</v>
      </c>
      <c r="X13" s="6"/>
      <c r="Y13" s="6"/>
      <c r="Z13" s="7"/>
      <c r="AA13" s="6"/>
      <c r="AB13" s="5"/>
      <c r="AC13" s="5"/>
      <c r="AD13" s="6"/>
    </row>
    <row r="14" customFormat="false" ht="30" hidden="false" customHeight="true" outlineLevel="0" collapsed="false">
      <c r="A14" s="9" t="n">
        <v>10</v>
      </c>
      <c r="B14" s="10"/>
      <c r="C14" s="10" t="s">
        <v>588</v>
      </c>
      <c r="D14" s="10" t="s">
        <v>589</v>
      </c>
      <c r="E14" s="10" t="s">
        <v>590</v>
      </c>
      <c r="F14" s="10" t="s">
        <v>37</v>
      </c>
      <c r="G14" s="11" t="n">
        <v>20000</v>
      </c>
      <c r="H14" s="11" t="n">
        <v>565800000</v>
      </c>
      <c r="I14" s="10"/>
      <c r="J14" s="11" t="n">
        <v>28290</v>
      </c>
      <c r="K14" s="12" t="n">
        <v>44188</v>
      </c>
      <c r="L14" s="12" t="n">
        <v>44188</v>
      </c>
      <c r="M14" s="12"/>
      <c r="N14" s="12" t="n">
        <v>44250</v>
      </c>
      <c r="O14" s="12"/>
      <c r="P14" s="12"/>
      <c r="Q14" s="12"/>
      <c r="R14" s="12"/>
      <c r="S14" s="12"/>
      <c r="T14" s="12"/>
      <c r="U14" s="12" t="n">
        <v>44264</v>
      </c>
      <c r="V14" s="12"/>
      <c r="W14" s="10" t="s">
        <v>57</v>
      </c>
      <c r="X14" s="10"/>
      <c r="Y14" s="10" t="s">
        <v>591</v>
      </c>
      <c r="Z14" s="11"/>
      <c r="AA14" s="10"/>
      <c r="AB14" s="9"/>
      <c r="AC14" s="9"/>
      <c r="AD14" s="10"/>
    </row>
    <row r="15" customFormat="false" ht="30" hidden="false" customHeight="true" outlineLevel="0" collapsed="false">
      <c r="A15" s="5" t="n">
        <v>11</v>
      </c>
      <c r="B15" s="6"/>
      <c r="C15" s="6" t="s">
        <v>588</v>
      </c>
      <c r="D15" s="6" t="s">
        <v>589</v>
      </c>
      <c r="E15" s="6" t="s">
        <v>592</v>
      </c>
      <c r="F15" s="6" t="s">
        <v>37</v>
      </c>
      <c r="G15" s="7" t="n">
        <v>24400</v>
      </c>
      <c r="H15" s="7" t="n">
        <v>894305240</v>
      </c>
      <c r="I15" s="6"/>
      <c r="J15" s="7" t="n">
        <v>36651.8541</v>
      </c>
      <c r="K15" s="8" t="n">
        <v>44188</v>
      </c>
      <c r="L15" s="8" t="n">
        <v>44188</v>
      </c>
      <c r="M15" s="8"/>
      <c r="N15" s="8" t="n">
        <v>44250</v>
      </c>
      <c r="O15" s="8"/>
      <c r="P15" s="8"/>
      <c r="Q15" s="8"/>
      <c r="R15" s="8"/>
      <c r="S15" s="8"/>
      <c r="T15" s="8"/>
      <c r="U15" s="8" t="n">
        <v>44265</v>
      </c>
      <c r="V15" s="8"/>
      <c r="W15" s="6" t="s">
        <v>57</v>
      </c>
      <c r="X15" s="6"/>
      <c r="Y15" s="6" t="s">
        <v>593</v>
      </c>
      <c r="Z15" s="7"/>
      <c r="AA15" s="6"/>
      <c r="AB15" s="5"/>
      <c r="AC15" s="5"/>
      <c r="AD15" s="6"/>
    </row>
    <row r="16" customFormat="false" ht="30" hidden="false" customHeight="true" outlineLevel="0" collapsed="false">
      <c r="A16" s="9" t="n">
        <v>12</v>
      </c>
      <c r="B16" s="10"/>
      <c r="C16" s="10" t="s">
        <v>594</v>
      </c>
      <c r="D16" s="10" t="s">
        <v>595</v>
      </c>
      <c r="E16" s="10" t="s">
        <v>596</v>
      </c>
      <c r="F16" s="10" t="s">
        <v>489</v>
      </c>
      <c r="G16" s="11"/>
      <c r="H16" s="11" t="n">
        <v>16301172000</v>
      </c>
      <c r="I16" s="10"/>
      <c r="J16" s="11"/>
      <c r="K16" s="12" t="n">
        <v>44054</v>
      </c>
      <c r="L16" s="12" t="n">
        <v>44056</v>
      </c>
      <c r="M16" s="12"/>
      <c r="N16" s="12" t="n">
        <v>44153</v>
      </c>
      <c r="O16" s="12"/>
      <c r="P16" s="12"/>
      <c r="Q16" s="12" t="n">
        <v>44172</v>
      </c>
      <c r="R16" s="12"/>
      <c r="S16" s="12"/>
      <c r="T16" s="12"/>
      <c r="U16" s="12" t="n">
        <v>44172</v>
      </c>
      <c r="V16" s="12"/>
      <c r="W16" s="10" t="s">
        <v>57</v>
      </c>
      <c r="X16" s="10"/>
      <c r="Y16" s="10" t="s">
        <v>597</v>
      </c>
      <c r="Z16" s="11"/>
      <c r="AA16" s="10"/>
      <c r="AB16" s="9"/>
      <c r="AC16" s="9"/>
      <c r="AD16" s="10"/>
    </row>
    <row r="17" customFormat="false" ht="30" hidden="false" customHeight="true" outlineLevel="0" collapsed="false">
      <c r="A17" s="5" t="n">
        <v>13</v>
      </c>
      <c r="B17" s="6"/>
      <c r="C17" s="6" t="s">
        <v>598</v>
      </c>
      <c r="D17" s="6" t="s">
        <v>599</v>
      </c>
      <c r="E17" s="6" t="s">
        <v>600</v>
      </c>
      <c r="F17" s="6" t="s">
        <v>560</v>
      </c>
      <c r="G17" s="7"/>
      <c r="H17" s="7" t="n">
        <v>1810899700</v>
      </c>
      <c r="I17" s="6"/>
      <c r="J17" s="7" t="n">
        <v>1653789.68</v>
      </c>
      <c r="K17" s="8" t="n">
        <v>44265</v>
      </c>
      <c r="L17" s="8" t="n">
        <v>44265</v>
      </c>
      <c r="M17" s="8"/>
      <c r="N17" s="8" t="n">
        <v>44298</v>
      </c>
      <c r="O17" s="8"/>
      <c r="P17" s="8"/>
      <c r="Q17" s="8"/>
      <c r="R17" s="8"/>
      <c r="S17" s="8"/>
      <c r="T17" s="8"/>
      <c r="U17" s="8" t="n">
        <v>44305</v>
      </c>
      <c r="V17" s="8"/>
      <c r="W17" s="6" t="s">
        <v>601</v>
      </c>
      <c r="X17" s="6"/>
      <c r="Y17" s="6" t="s">
        <v>602</v>
      </c>
      <c r="Z17" s="7"/>
      <c r="AA17" s="6"/>
      <c r="AB17" s="5"/>
      <c r="AC17" s="5"/>
      <c r="AD17" s="6"/>
    </row>
    <row r="18" customFormat="false" ht="30" hidden="false" customHeight="true" outlineLevel="0" collapsed="false">
      <c r="A18" s="9" t="n">
        <v>14</v>
      </c>
      <c r="B18" s="10"/>
      <c r="C18" s="10" t="s">
        <v>603</v>
      </c>
      <c r="D18" s="10" t="s">
        <v>181</v>
      </c>
      <c r="E18" s="10" t="s">
        <v>604</v>
      </c>
      <c r="F18" s="10" t="s">
        <v>489</v>
      </c>
      <c r="G18" s="11"/>
      <c r="H18" s="11" t="n">
        <v>33647800423</v>
      </c>
      <c r="I18" s="10"/>
      <c r="J18" s="11"/>
      <c r="K18" s="12" t="n">
        <v>44158</v>
      </c>
      <c r="L18" s="12" t="n">
        <v>44174</v>
      </c>
      <c r="M18" s="12"/>
      <c r="N18" s="12" t="n">
        <v>44231</v>
      </c>
      <c r="O18" s="12"/>
      <c r="P18" s="12"/>
      <c r="Q18" s="12"/>
      <c r="R18" s="12"/>
      <c r="S18" s="12"/>
      <c r="T18" s="12"/>
      <c r="U18" s="12" t="n">
        <v>44251</v>
      </c>
      <c r="V18" s="12"/>
      <c r="W18" s="10" t="s">
        <v>57</v>
      </c>
      <c r="X18" s="10"/>
      <c r="Y18" s="10" t="s">
        <v>605</v>
      </c>
      <c r="Z18" s="11"/>
      <c r="AA18" s="10"/>
      <c r="AB18" s="9"/>
      <c r="AC18" s="9"/>
      <c r="AD18" s="10"/>
    </row>
    <row r="19" customFormat="false" ht="30" hidden="false" customHeight="true" outlineLevel="0" collapsed="false">
      <c r="A19" s="5" t="n">
        <v>15</v>
      </c>
      <c r="B19" s="6"/>
      <c r="C19" s="6" t="s">
        <v>606</v>
      </c>
      <c r="D19" s="6" t="s">
        <v>607</v>
      </c>
      <c r="E19" s="6" t="s">
        <v>187</v>
      </c>
      <c r="F19" s="6" t="s">
        <v>37</v>
      </c>
      <c r="G19" s="7" t="n">
        <v>195400</v>
      </c>
      <c r="H19" s="7" t="n">
        <v>7928355000</v>
      </c>
      <c r="I19" s="6"/>
      <c r="J19" s="7" t="n">
        <v>40575</v>
      </c>
      <c r="K19" s="8" t="n">
        <v>44354</v>
      </c>
      <c r="L19" s="8" t="n">
        <v>44354</v>
      </c>
      <c r="M19" s="8"/>
      <c r="N19" s="8" t="n">
        <v>44403</v>
      </c>
      <c r="O19" s="8"/>
      <c r="P19" s="8" t="n">
        <v>44413</v>
      </c>
      <c r="Q19" s="8" t="n">
        <v>44440</v>
      </c>
      <c r="R19" s="8"/>
      <c r="S19" s="8"/>
      <c r="T19" s="8"/>
      <c r="U19" s="8" t="n">
        <v>44498</v>
      </c>
      <c r="V19" s="8"/>
      <c r="W19" s="6" t="s">
        <v>57</v>
      </c>
      <c r="X19" s="6"/>
      <c r="Y19" s="6" t="s">
        <v>593</v>
      </c>
      <c r="Z19" s="7"/>
      <c r="AA19" s="6"/>
      <c r="AB19" s="5"/>
      <c r="AC19" s="5"/>
      <c r="AD19" s="6"/>
    </row>
    <row r="20" customFormat="false" ht="30" hidden="false" customHeight="true" outlineLevel="0" collapsed="false">
      <c r="A20" s="9" t="n">
        <v>16</v>
      </c>
      <c r="B20" s="10"/>
      <c r="C20" s="10" t="s">
        <v>608</v>
      </c>
      <c r="D20" s="10" t="s">
        <v>609</v>
      </c>
      <c r="E20" s="10" t="s">
        <v>610</v>
      </c>
      <c r="F20" s="10" t="s">
        <v>560</v>
      </c>
      <c r="G20" s="11" t="n">
        <v>2000</v>
      </c>
      <c r="H20" s="11" t="n">
        <v>35400000</v>
      </c>
      <c r="I20" s="10"/>
      <c r="J20" s="11" t="n">
        <v>17700</v>
      </c>
      <c r="K20" s="12" t="n">
        <v>44524</v>
      </c>
      <c r="L20" s="12" t="n">
        <v>44524</v>
      </c>
      <c r="M20" s="12"/>
      <c r="N20" s="12"/>
      <c r="O20" s="12"/>
      <c r="P20" s="12"/>
      <c r="Q20" s="12"/>
      <c r="R20" s="12"/>
      <c r="S20" s="12" t="n">
        <v>44525</v>
      </c>
      <c r="T20" s="12"/>
      <c r="U20" s="12" t="n">
        <v>44525</v>
      </c>
      <c r="V20" s="12"/>
      <c r="W20" s="10"/>
      <c r="X20" s="10"/>
      <c r="Y20" s="10" t="s">
        <v>611</v>
      </c>
      <c r="Z20" s="11"/>
      <c r="AA20" s="10"/>
      <c r="AB20" s="9"/>
      <c r="AC20" s="9"/>
      <c r="AD20" s="10"/>
    </row>
    <row r="21" customFormat="false" ht="30" hidden="false" customHeight="true" outlineLevel="0" collapsed="false">
      <c r="A21" s="5" t="n">
        <v>17</v>
      </c>
      <c r="B21" s="6"/>
      <c r="C21" s="6" t="s">
        <v>612</v>
      </c>
      <c r="D21" s="6" t="s">
        <v>181</v>
      </c>
      <c r="E21" s="6" t="s">
        <v>423</v>
      </c>
      <c r="F21" s="6" t="s">
        <v>489</v>
      </c>
      <c r="G21" s="7"/>
      <c r="H21" s="7" t="n">
        <v>40800000000</v>
      </c>
      <c r="I21" s="6"/>
      <c r="J21" s="7"/>
      <c r="K21" s="8" t="n">
        <v>44186</v>
      </c>
      <c r="L21" s="8" t="n">
        <v>44204</v>
      </c>
      <c r="M21" s="8"/>
      <c r="N21" s="8"/>
      <c r="O21" s="8"/>
      <c r="P21" s="8"/>
      <c r="Q21" s="8" t="n">
        <v>44265</v>
      </c>
      <c r="R21" s="8"/>
      <c r="S21" s="8"/>
      <c r="T21" s="8"/>
      <c r="U21" s="8"/>
      <c r="V21" s="8"/>
      <c r="W21" s="6" t="s">
        <v>90</v>
      </c>
      <c r="X21" s="6"/>
      <c r="Y21" s="6" t="s">
        <v>613</v>
      </c>
      <c r="Z21" s="7"/>
      <c r="AA21" s="6"/>
      <c r="AB21" s="5"/>
      <c r="AC21" s="5"/>
      <c r="AD21" s="6"/>
    </row>
    <row r="22" customFormat="false" ht="30" hidden="false" customHeight="true" outlineLevel="0" collapsed="false">
      <c r="A22" s="9" t="n">
        <v>18</v>
      </c>
      <c r="B22" s="10"/>
      <c r="C22" s="10" t="s">
        <v>614</v>
      </c>
      <c r="D22" s="10" t="s">
        <v>448</v>
      </c>
      <c r="E22" s="10" t="s">
        <v>615</v>
      </c>
      <c r="F22" s="10" t="s">
        <v>489</v>
      </c>
      <c r="G22" s="11"/>
      <c r="H22" s="11" t="n">
        <v>4504899.3</v>
      </c>
      <c r="I22" s="10"/>
      <c r="J22" s="11"/>
      <c r="K22" s="12" t="n">
        <v>44067</v>
      </c>
      <c r="L22" s="12" t="n">
        <v>44068</v>
      </c>
      <c r="M22" s="12"/>
      <c r="N22" s="12" t="n">
        <v>44112</v>
      </c>
      <c r="O22" s="12"/>
      <c r="P22" s="12" t="n">
        <v>44137</v>
      </c>
      <c r="Q22" s="12" t="n">
        <v>44148</v>
      </c>
      <c r="R22" s="12"/>
      <c r="S22" s="12"/>
      <c r="T22" s="12"/>
      <c r="U22" s="12" t="n">
        <v>44148</v>
      </c>
      <c r="V22" s="12"/>
      <c r="W22" s="10" t="s">
        <v>90</v>
      </c>
      <c r="X22" s="10"/>
      <c r="Y22" s="10" t="s">
        <v>616</v>
      </c>
      <c r="Z22" s="11"/>
      <c r="AA22" s="10"/>
      <c r="AB22" s="9"/>
      <c r="AC22" s="9"/>
      <c r="AD22" s="10"/>
    </row>
    <row r="23" customFormat="false" ht="30" hidden="false" customHeight="true" outlineLevel="0" collapsed="false">
      <c r="A23" s="5" t="n">
        <v>19</v>
      </c>
      <c r="B23" s="6"/>
      <c r="C23" s="6" t="s">
        <v>617</v>
      </c>
      <c r="D23" s="6" t="s">
        <v>607</v>
      </c>
      <c r="E23" s="6" t="s">
        <v>121</v>
      </c>
      <c r="F23" s="6" t="s">
        <v>37</v>
      </c>
      <c r="G23" s="7" t="n">
        <v>118844</v>
      </c>
      <c r="H23" s="7" t="n">
        <v>4630814000</v>
      </c>
      <c r="I23" s="6"/>
      <c r="J23" s="7" t="n">
        <v>38965.48416</v>
      </c>
      <c r="K23" s="8" t="n">
        <v>44389</v>
      </c>
      <c r="L23" s="8" t="n">
        <v>44389</v>
      </c>
      <c r="M23" s="8"/>
      <c r="N23" s="8" t="n">
        <v>44433</v>
      </c>
      <c r="O23" s="8"/>
      <c r="P23" s="8" t="n">
        <v>44438</v>
      </c>
      <c r="Q23" s="8"/>
      <c r="R23" s="8"/>
      <c r="S23" s="8"/>
      <c r="T23" s="8"/>
      <c r="U23" s="8"/>
      <c r="V23" s="8"/>
      <c r="W23" s="6" t="s">
        <v>90</v>
      </c>
      <c r="X23" s="6"/>
      <c r="Y23" s="6" t="s">
        <v>618</v>
      </c>
      <c r="Z23" s="7"/>
      <c r="AA23" s="6"/>
      <c r="AB23" s="5"/>
      <c r="AC23" s="5"/>
      <c r="AD23" s="6"/>
    </row>
    <row r="24" customFormat="false" ht="30" hidden="false" customHeight="true" outlineLevel="0" collapsed="false">
      <c r="A24" s="9" t="n">
        <v>20</v>
      </c>
      <c r="B24" s="10"/>
      <c r="C24" s="10" t="s">
        <v>619</v>
      </c>
      <c r="D24" s="10" t="s">
        <v>620</v>
      </c>
      <c r="E24" s="10" t="s">
        <v>187</v>
      </c>
      <c r="F24" s="10" t="s">
        <v>37</v>
      </c>
      <c r="G24" s="11" t="n">
        <v>35285</v>
      </c>
      <c r="H24" s="11" t="n">
        <v>1234975000</v>
      </c>
      <c r="I24" s="10"/>
      <c r="J24" s="11" t="n">
        <v>35000</v>
      </c>
      <c r="K24" s="12" t="n">
        <v>44399</v>
      </c>
      <c r="L24" s="12" t="n">
        <v>44399</v>
      </c>
      <c r="M24" s="12"/>
      <c r="N24" s="12" t="n">
        <v>44435</v>
      </c>
      <c r="O24" s="12"/>
      <c r="P24" s="12"/>
      <c r="Q24" s="12" t="n">
        <v>44454</v>
      </c>
      <c r="R24" s="12"/>
      <c r="S24" s="12"/>
      <c r="T24" s="12" t="n">
        <v>44485</v>
      </c>
      <c r="U24" s="12" t="n">
        <v>44454</v>
      </c>
      <c r="V24" s="12"/>
      <c r="W24" s="10" t="s">
        <v>90</v>
      </c>
      <c r="X24" s="10"/>
      <c r="Y24" s="10" t="s">
        <v>621</v>
      </c>
      <c r="Z24" s="11"/>
      <c r="AA24" s="10"/>
      <c r="AB24" s="9"/>
      <c r="AC24" s="9"/>
      <c r="AD24" s="10"/>
    </row>
    <row r="25" customFormat="false" ht="30" hidden="false" customHeight="true" outlineLevel="0" collapsed="false">
      <c r="A25" s="5" t="n">
        <v>21</v>
      </c>
      <c r="B25" s="6"/>
      <c r="C25" s="6" t="s">
        <v>510</v>
      </c>
      <c r="D25" s="6" t="s">
        <v>620</v>
      </c>
      <c r="E25" s="6" t="s">
        <v>200</v>
      </c>
      <c r="F25" s="6" t="s">
        <v>37</v>
      </c>
      <c r="G25" s="7"/>
      <c r="H25" s="7"/>
      <c r="I25" s="6"/>
      <c r="J25" s="7"/>
      <c r="K25" s="8" t="n">
        <v>44441</v>
      </c>
      <c r="L25" s="8" t="n">
        <v>44441</v>
      </c>
      <c r="M25" s="8"/>
      <c r="N25" s="8"/>
      <c r="O25" s="8"/>
      <c r="P25" s="8"/>
      <c r="Q25" s="8" t="n">
        <v>44484</v>
      </c>
      <c r="R25" s="8"/>
      <c r="S25" s="8"/>
      <c r="T25" s="8"/>
      <c r="U25" s="8"/>
      <c r="V25" s="8"/>
      <c r="W25" s="6" t="s">
        <v>90</v>
      </c>
      <c r="X25" s="6" t="s">
        <v>566</v>
      </c>
      <c r="Y25" s="6" t="s">
        <v>622</v>
      </c>
      <c r="Z25" s="7"/>
      <c r="AA25" s="6"/>
      <c r="AB25" s="5"/>
      <c r="AC25" s="5"/>
      <c r="AD25" s="6"/>
    </row>
    <row r="26" customFormat="false" ht="30" hidden="false" customHeight="true" outlineLevel="0" collapsed="false">
      <c r="A26" s="9" t="n">
        <v>22</v>
      </c>
      <c r="B26" s="10"/>
      <c r="C26" s="10" t="s">
        <v>623</v>
      </c>
      <c r="D26" s="10" t="s">
        <v>624</v>
      </c>
      <c r="E26" s="10" t="s">
        <v>625</v>
      </c>
      <c r="F26" s="10" t="s">
        <v>489</v>
      </c>
      <c r="G26" s="11"/>
      <c r="H26" s="11" t="n">
        <v>11560122061</v>
      </c>
      <c r="I26" s="10"/>
      <c r="J26" s="11"/>
      <c r="K26" s="12" t="n">
        <v>44488</v>
      </c>
      <c r="L26" s="12" t="n">
        <v>44488</v>
      </c>
      <c r="M26" s="12"/>
      <c r="N26" s="12" t="n">
        <v>44523</v>
      </c>
      <c r="O26" s="12"/>
      <c r="P26" s="12"/>
      <c r="Q26" s="12"/>
      <c r="R26" s="12"/>
      <c r="S26" s="12" t="n">
        <v>44530</v>
      </c>
      <c r="T26" s="12"/>
      <c r="U26" s="12"/>
      <c r="V26" s="12"/>
      <c r="W26" s="10" t="s">
        <v>90</v>
      </c>
      <c r="X26" s="10"/>
      <c r="Y26" s="10" t="s">
        <v>626</v>
      </c>
      <c r="Z26" s="11"/>
      <c r="AA26" s="10"/>
      <c r="AB26" s="9"/>
      <c r="AC26" s="9"/>
      <c r="AD26" s="10"/>
    </row>
    <row r="27" customFormat="false" ht="30" hidden="false" customHeight="true" outlineLevel="0" collapsed="false">
      <c r="A27" s="5" t="n">
        <v>23</v>
      </c>
      <c r="B27" s="6"/>
      <c r="C27" s="6" t="s">
        <v>627</v>
      </c>
      <c r="D27" s="6" t="s">
        <v>628</v>
      </c>
      <c r="E27" s="6" t="s">
        <v>629</v>
      </c>
      <c r="F27" s="6" t="s">
        <v>560</v>
      </c>
      <c r="G27" s="7"/>
      <c r="H27" s="7" t="n">
        <v>6048734200</v>
      </c>
      <c r="I27" s="6"/>
      <c r="J27" s="7"/>
      <c r="K27" s="8" t="n">
        <v>44126</v>
      </c>
      <c r="L27" s="8" t="n">
        <v>44132</v>
      </c>
      <c r="M27" s="8"/>
      <c r="N27" s="8" t="n">
        <v>44224</v>
      </c>
      <c r="O27" s="8"/>
      <c r="P27" s="8"/>
      <c r="Q27" s="8"/>
      <c r="R27" s="8"/>
      <c r="S27" s="8"/>
      <c r="T27" s="8"/>
      <c r="U27" s="8" t="n">
        <v>44238</v>
      </c>
      <c r="V27" s="8"/>
      <c r="W27" s="6" t="s">
        <v>52</v>
      </c>
      <c r="X27" s="6"/>
      <c r="Y27" s="6" t="s">
        <v>630</v>
      </c>
      <c r="Z27" s="7"/>
      <c r="AA27" s="6"/>
      <c r="AB27" s="5"/>
      <c r="AC27" s="5"/>
      <c r="AD27" s="6"/>
    </row>
    <row r="28" customFormat="false" ht="30" hidden="false" customHeight="true" outlineLevel="0" collapsed="false">
      <c r="A28" s="9" t="n">
        <v>24</v>
      </c>
      <c r="B28" s="10"/>
      <c r="C28" s="10" t="s">
        <v>631</v>
      </c>
      <c r="D28" s="10" t="s">
        <v>589</v>
      </c>
      <c r="E28" s="10" t="s">
        <v>632</v>
      </c>
      <c r="F28" s="10" t="s">
        <v>489</v>
      </c>
      <c r="G28" s="11"/>
      <c r="H28" s="11"/>
      <c r="I28" s="10"/>
      <c r="J28" s="11"/>
      <c r="K28" s="12" t="n">
        <v>44202</v>
      </c>
      <c r="L28" s="12" t="n">
        <v>44202</v>
      </c>
      <c r="M28" s="12"/>
      <c r="N28" s="12"/>
      <c r="O28" s="12"/>
      <c r="P28" s="12"/>
      <c r="Q28" s="12"/>
      <c r="R28" s="12"/>
      <c r="S28" s="12"/>
      <c r="T28" s="12"/>
      <c r="U28" s="12"/>
      <c r="V28" s="12"/>
      <c r="W28" s="10" t="s">
        <v>52</v>
      </c>
      <c r="X28" s="10"/>
      <c r="Y28" s="10" t="s">
        <v>633</v>
      </c>
      <c r="Z28" s="11"/>
      <c r="AA28" s="10"/>
      <c r="AB28" s="9"/>
      <c r="AC28" s="9"/>
      <c r="AD28" s="10"/>
    </row>
    <row r="29" customFormat="false" ht="30" hidden="false" customHeight="true" outlineLevel="0" collapsed="false">
      <c r="A29" s="5" t="n">
        <v>25</v>
      </c>
      <c r="B29" s="6"/>
      <c r="C29" s="6"/>
      <c r="D29" s="6" t="s">
        <v>634</v>
      </c>
      <c r="E29" s="6" t="s">
        <v>635</v>
      </c>
      <c r="F29" s="6" t="s">
        <v>37</v>
      </c>
      <c r="G29" s="7"/>
      <c r="H29" s="7"/>
      <c r="I29" s="6"/>
      <c r="J29" s="7"/>
      <c r="K29" s="8"/>
      <c r="L29" s="8"/>
      <c r="M29" s="8"/>
      <c r="N29" s="8" t="n">
        <v>44229</v>
      </c>
      <c r="O29" s="8"/>
      <c r="P29" s="8"/>
      <c r="Q29" s="8"/>
      <c r="R29" s="8"/>
      <c r="S29" s="8"/>
      <c r="T29" s="8"/>
      <c r="U29" s="8"/>
      <c r="V29" s="8"/>
      <c r="W29" s="6" t="s">
        <v>52</v>
      </c>
      <c r="X29" s="6"/>
      <c r="Y29" s="6" t="s">
        <v>636</v>
      </c>
      <c r="Z29" s="7"/>
      <c r="AA29" s="6"/>
      <c r="AB29" s="5"/>
      <c r="AC29" s="5"/>
      <c r="AD29" s="6"/>
    </row>
    <row r="30" customFormat="false" ht="30" hidden="false" customHeight="true" outlineLevel="0" collapsed="false">
      <c r="A30" s="9" t="n">
        <v>26</v>
      </c>
      <c r="B30" s="10"/>
      <c r="C30" s="10" t="s">
        <v>637</v>
      </c>
      <c r="D30" s="10" t="s">
        <v>638</v>
      </c>
      <c r="E30" s="10" t="s">
        <v>639</v>
      </c>
      <c r="F30" s="10" t="s">
        <v>489</v>
      </c>
      <c r="G30" s="11"/>
      <c r="H30" s="11" t="n">
        <v>12932059500</v>
      </c>
      <c r="I30" s="10"/>
      <c r="J30" s="11"/>
      <c r="K30" s="12" t="n">
        <v>44047</v>
      </c>
      <c r="L30" s="12" t="n">
        <v>44049</v>
      </c>
      <c r="M30" s="12"/>
      <c r="N30" s="12" t="n">
        <v>44200</v>
      </c>
      <c r="O30" s="12"/>
      <c r="P30" s="12" t="n">
        <v>44216</v>
      </c>
      <c r="Q30" s="12"/>
      <c r="R30" s="12"/>
      <c r="S30" s="12"/>
      <c r="T30" s="12" t="n">
        <v>44339</v>
      </c>
      <c r="U30" s="12" t="n">
        <v>44256</v>
      </c>
      <c r="V30" s="12"/>
      <c r="W30" s="10" t="s">
        <v>52</v>
      </c>
      <c r="X30" s="10"/>
      <c r="Y30" s="10" t="s">
        <v>640</v>
      </c>
      <c r="Z30" s="11"/>
      <c r="AA30" s="10"/>
      <c r="AB30" s="9"/>
      <c r="AC30" s="9"/>
      <c r="AD30" s="10"/>
    </row>
    <row r="31" customFormat="false" ht="30" hidden="false" customHeight="true" outlineLevel="0" collapsed="false">
      <c r="A31" s="5" t="n">
        <v>27</v>
      </c>
      <c r="B31" s="6"/>
      <c r="C31" s="6" t="s">
        <v>641</v>
      </c>
      <c r="D31" s="6" t="s">
        <v>642</v>
      </c>
      <c r="E31" s="6" t="s">
        <v>643</v>
      </c>
      <c r="F31" s="6" t="s">
        <v>560</v>
      </c>
      <c r="G31" s="7"/>
      <c r="H31" s="7"/>
      <c r="I31" s="6"/>
      <c r="J31" s="7"/>
      <c r="K31" s="8" t="n">
        <v>44298</v>
      </c>
      <c r="L31" s="8" t="n">
        <v>44306</v>
      </c>
      <c r="M31" s="8"/>
      <c r="N31" s="8" t="n">
        <v>44476</v>
      </c>
      <c r="O31" s="8"/>
      <c r="P31" s="8"/>
      <c r="Q31" s="8"/>
      <c r="R31" s="8"/>
      <c r="S31" s="8"/>
      <c r="T31" s="8"/>
      <c r="U31" s="8" t="n">
        <v>44490</v>
      </c>
      <c r="V31" s="8"/>
      <c r="W31" s="6" t="s">
        <v>52</v>
      </c>
      <c r="X31" s="6"/>
      <c r="Y31" s="6" t="s">
        <v>644</v>
      </c>
      <c r="Z31" s="7"/>
      <c r="AA31" s="6"/>
      <c r="AB31" s="5"/>
      <c r="AC31" s="5"/>
      <c r="AD31" s="6"/>
    </row>
    <row r="32" customFormat="false" ht="30" hidden="false" customHeight="true" outlineLevel="0" collapsed="false">
      <c r="A32" s="9" t="n">
        <v>28</v>
      </c>
      <c r="B32" s="10"/>
      <c r="C32" s="10" t="s">
        <v>645</v>
      </c>
      <c r="D32" s="10" t="s">
        <v>646</v>
      </c>
      <c r="E32" s="10" t="s">
        <v>121</v>
      </c>
      <c r="F32" s="10" t="s">
        <v>37</v>
      </c>
      <c r="G32" s="11" t="n">
        <v>38400</v>
      </c>
      <c r="H32" s="11" t="n">
        <v>988800000</v>
      </c>
      <c r="I32" s="10"/>
      <c r="J32" s="11" t="n">
        <v>25750</v>
      </c>
      <c r="K32" s="12" t="n">
        <v>44456</v>
      </c>
      <c r="L32" s="12" t="n">
        <v>44456</v>
      </c>
      <c r="M32" s="12"/>
      <c r="N32" s="12" t="n">
        <v>44466</v>
      </c>
      <c r="O32" s="12"/>
      <c r="P32" s="12" t="n">
        <v>44505</v>
      </c>
      <c r="Q32" s="12" t="n">
        <v>44525</v>
      </c>
      <c r="R32" s="12" t="n">
        <v>44525</v>
      </c>
      <c r="S32" s="12" t="n">
        <v>44525</v>
      </c>
      <c r="T32" s="12"/>
      <c r="U32" s="12"/>
      <c r="V32" s="12"/>
      <c r="W32" s="10" t="s">
        <v>52</v>
      </c>
      <c r="X32" s="10"/>
      <c r="Y32" s="10" t="s">
        <v>647</v>
      </c>
      <c r="Z32" s="11"/>
      <c r="AA32" s="10"/>
      <c r="AB32" s="9"/>
      <c r="AC32" s="9"/>
      <c r="AD32" s="10"/>
    </row>
    <row r="33" customFormat="false" ht="30" hidden="false" customHeight="true" outlineLevel="0" collapsed="false">
      <c r="A33" s="5" t="n">
        <v>29</v>
      </c>
      <c r="B33" s="6"/>
      <c r="C33" s="6" t="s">
        <v>648</v>
      </c>
      <c r="D33" s="6" t="s">
        <v>649</v>
      </c>
      <c r="E33" s="6" t="s">
        <v>650</v>
      </c>
      <c r="F33" s="6" t="s">
        <v>560</v>
      </c>
      <c r="G33" s="7"/>
      <c r="H33" s="7"/>
      <c r="I33" s="6"/>
      <c r="J33" s="7"/>
      <c r="K33" s="8" t="n">
        <v>44097</v>
      </c>
      <c r="L33" s="8" t="n">
        <v>44097</v>
      </c>
      <c r="M33" s="8"/>
      <c r="N33" s="8"/>
      <c r="O33" s="8"/>
      <c r="P33" s="8"/>
      <c r="Q33" s="8"/>
      <c r="R33" s="8"/>
      <c r="S33" s="8"/>
      <c r="T33" s="8"/>
      <c r="U33" s="8"/>
      <c r="V33" s="8"/>
      <c r="W33" s="6" t="s">
        <v>651</v>
      </c>
      <c r="X33" s="6"/>
      <c r="Y33" s="6" t="s">
        <v>651</v>
      </c>
      <c r="Z33" s="7"/>
      <c r="AA33" s="6"/>
      <c r="AB33" s="5"/>
      <c r="AC33" s="5"/>
      <c r="AD33" s="6"/>
    </row>
    <row r="34" customFormat="false" ht="30" hidden="false" customHeight="true" outlineLevel="0" collapsed="false">
      <c r="A34" s="9" t="n">
        <v>30</v>
      </c>
      <c r="B34" s="10"/>
      <c r="C34" s="10" t="s">
        <v>652</v>
      </c>
      <c r="D34" s="10" t="s">
        <v>599</v>
      </c>
      <c r="E34" s="10" t="s">
        <v>200</v>
      </c>
      <c r="F34" s="10" t="s">
        <v>37</v>
      </c>
      <c r="G34" s="11"/>
      <c r="H34" s="11"/>
      <c r="I34" s="10"/>
      <c r="J34" s="11"/>
      <c r="K34" s="12" t="n">
        <v>44214</v>
      </c>
      <c r="L34" s="12" t="n">
        <v>44214</v>
      </c>
      <c r="M34" s="12"/>
      <c r="N34" s="12"/>
      <c r="O34" s="12"/>
      <c r="P34" s="12"/>
      <c r="Q34" s="12"/>
      <c r="R34" s="12"/>
      <c r="S34" s="12"/>
      <c r="T34" s="12"/>
      <c r="U34" s="12"/>
      <c r="V34" s="12"/>
      <c r="W34" s="10" t="s">
        <v>651</v>
      </c>
      <c r="X34" s="10"/>
      <c r="Y34" s="10" t="s">
        <v>651</v>
      </c>
      <c r="Z34" s="11"/>
      <c r="AA34" s="10"/>
      <c r="AB34" s="9"/>
      <c r="AC34" s="9"/>
      <c r="AD34" s="10"/>
    </row>
    <row r="35" customFormat="false" ht="30" hidden="false" customHeight="true" outlineLevel="0" collapsed="false">
      <c r="A35" s="5" t="n">
        <v>31</v>
      </c>
      <c r="B35" s="6"/>
      <c r="C35" s="6" t="s">
        <v>653</v>
      </c>
      <c r="D35" s="6" t="s">
        <v>585</v>
      </c>
      <c r="E35" s="6" t="s">
        <v>187</v>
      </c>
      <c r="F35" s="6" t="s">
        <v>37</v>
      </c>
      <c r="G35" s="7"/>
      <c r="H35" s="7"/>
      <c r="I35" s="6"/>
      <c r="J35" s="7"/>
      <c r="K35" s="8" t="n">
        <v>44298</v>
      </c>
      <c r="L35" s="8" t="n">
        <v>44298</v>
      </c>
      <c r="M35" s="8"/>
      <c r="N35" s="8" t="n">
        <v>44326</v>
      </c>
      <c r="O35" s="8"/>
      <c r="P35" s="8"/>
      <c r="Q35" s="8"/>
      <c r="R35" s="8"/>
      <c r="S35" s="8"/>
      <c r="T35" s="8"/>
      <c r="U35" s="8"/>
      <c r="V35" s="8"/>
      <c r="W35" s="6" t="s">
        <v>651</v>
      </c>
      <c r="X35" s="6"/>
      <c r="Y35" s="6" t="s">
        <v>651</v>
      </c>
      <c r="Z35" s="7"/>
      <c r="AA35" s="6"/>
      <c r="AB35" s="5"/>
      <c r="AC35" s="5"/>
      <c r="AD35" s="6"/>
    </row>
    <row r="36" customFormat="false" ht="30" hidden="false" customHeight="true" outlineLevel="0" collapsed="false">
      <c r="A36" s="9" t="n">
        <v>32</v>
      </c>
      <c r="B36" s="10"/>
      <c r="C36" s="10" t="s">
        <v>654</v>
      </c>
      <c r="D36" s="10" t="s">
        <v>655</v>
      </c>
      <c r="E36" s="10" t="s">
        <v>656</v>
      </c>
      <c r="F36" s="10" t="s">
        <v>560</v>
      </c>
      <c r="G36" s="11"/>
      <c r="H36" s="11"/>
      <c r="I36" s="10"/>
      <c r="J36" s="11"/>
      <c r="K36" s="12" t="n">
        <v>44271</v>
      </c>
      <c r="L36" s="12" t="n">
        <v>44271</v>
      </c>
      <c r="M36" s="12"/>
      <c r="N36" s="12"/>
      <c r="O36" s="12"/>
      <c r="P36" s="12"/>
      <c r="Q36" s="12"/>
      <c r="R36" s="12"/>
      <c r="S36" s="12"/>
      <c r="T36" s="12"/>
      <c r="U36" s="12"/>
      <c r="V36" s="12"/>
      <c r="W36" s="10" t="s">
        <v>243</v>
      </c>
      <c r="X36" s="10"/>
      <c r="Y36" s="10" t="s">
        <v>657</v>
      </c>
      <c r="Z36" s="11"/>
      <c r="AA36" s="10"/>
      <c r="AB36" s="9"/>
      <c r="AC36" s="9"/>
      <c r="AD36" s="10"/>
    </row>
    <row r="37" customFormat="false" ht="30" hidden="false" customHeight="true" outlineLevel="0" collapsed="false">
      <c r="A37" s="5" t="n">
        <v>33</v>
      </c>
      <c r="B37" s="6"/>
      <c r="C37" s="6" t="s">
        <v>658</v>
      </c>
      <c r="D37" s="6" t="s">
        <v>659</v>
      </c>
      <c r="E37" s="6" t="s">
        <v>660</v>
      </c>
      <c r="F37" s="6" t="s">
        <v>37</v>
      </c>
      <c r="G37" s="7"/>
      <c r="H37" s="7"/>
      <c r="I37" s="6"/>
      <c r="J37" s="7"/>
      <c r="K37" s="8" t="n">
        <v>44344</v>
      </c>
      <c r="L37" s="8" t="n">
        <v>44344</v>
      </c>
      <c r="M37" s="8"/>
      <c r="N37" s="8"/>
      <c r="O37" s="8"/>
      <c r="P37" s="8"/>
      <c r="Q37" s="8"/>
      <c r="R37" s="8"/>
      <c r="S37" s="8"/>
      <c r="T37" s="8"/>
      <c r="U37" s="8"/>
      <c r="V37" s="8"/>
      <c r="W37" s="6" t="s">
        <v>243</v>
      </c>
      <c r="X37" s="6"/>
      <c r="Y37" s="6" t="s">
        <v>661</v>
      </c>
      <c r="Z37" s="7"/>
      <c r="AA37" s="6"/>
      <c r="AB37" s="5"/>
      <c r="AC37" s="5"/>
      <c r="AD37" s="6"/>
    </row>
    <row r="38" customFormat="false" ht="30" hidden="false" customHeight="true" outlineLevel="0" collapsed="false">
      <c r="A38" s="9" t="n">
        <v>34</v>
      </c>
      <c r="B38" s="10"/>
      <c r="C38" s="10" t="s">
        <v>662</v>
      </c>
      <c r="D38" s="10" t="s">
        <v>642</v>
      </c>
      <c r="E38" s="10" t="s">
        <v>663</v>
      </c>
      <c r="F38" s="10" t="s">
        <v>560</v>
      </c>
      <c r="G38" s="11"/>
      <c r="H38" s="11"/>
      <c r="I38" s="10"/>
      <c r="J38" s="11"/>
      <c r="K38" s="12" t="n">
        <v>44363</v>
      </c>
      <c r="L38" s="12" t="n">
        <v>44363</v>
      </c>
      <c r="M38" s="12"/>
      <c r="N38" s="12"/>
      <c r="O38" s="12"/>
      <c r="P38" s="12"/>
      <c r="Q38" s="12"/>
      <c r="R38" s="12"/>
      <c r="S38" s="12"/>
      <c r="T38" s="12"/>
      <c r="U38" s="12"/>
      <c r="V38" s="12"/>
      <c r="W38" s="10" t="s">
        <v>243</v>
      </c>
      <c r="X38" s="10"/>
      <c r="Y38" s="10" t="s">
        <v>664</v>
      </c>
      <c r="Z38" s="11"/>
      <c r="AA38" s="10"/>
      <c r="AB38" s="9"/>
      <c r="AC38" s="9"/>
      <c r="AD38" s="10"/>
    </row>
    <row r="39" customFormat="false" ht="30" hidden="false" customHeight="true" outlineLevel="0" collapsed="false">
      <c r="A39" s="5" t="n">
        <v>35</v>
      </c>
      <c r="B39" s="6"/>
      <c r="C39" s="6" t="s">
        <v>665</v>
      </c>
      <c r="D39" s="6" t="s">
        <v>571</v>
      </c>
      <c r="E39" s="6" t="s">
        <v>666</v>
      </c>
      <c r="F39" s="6" t="s">
        <v>560</v>
      </c>
      <c r="G39" s="7"/>
      <c r="H39" s="7"/>
      <c r="I39" s="6"/>
      <c r="J39" s="7"/>
      <c r="K39" s="8" t="n">
        <v>44389</v>
      </c>
      <c r="L39" s="8" t="n">
        <v>44389</v>
      </c>
      <c r="M39" s="8"/>
      <c r="N39" s="8"/>
      <c r="O39" s="8"/>
      <c r="P39" s="8"/>
      <c r="Q39" s="8"/>
      <c r="R39" s="8"/>
      <c r="S39" s="8"/>
      <c r="T39" s="8"/>
      <c r="U39" s="8"/>
      <c r="V39" s="8"/>
      <c r="W39" s="6" t="s">
        <v>243</v>
      </c>
      <c r="X39" s="6"/>
      <c r="Y39" s="6" t="s">
        <v>667</v>
      </c>
      <c r="Z39" s="7"/>
      <c r="AA39" s="6"/>
      <c r="AB39" s="5"/>
      <c r="AC39" s="5"/>
      <c r="AD39" s="6"/>
    </row>
    <row r="40" customFormat="false" ht="30" hidden="false" customHeight="true" outlineLevel="0" collapsed="false">
      <c r="A40" s="9" t="n">
        <v>36</v>
      </c>
      <c r="B40" s="10"/>
      <c r="C40" s="10" t="s">
        <v>668</v>
      </c>
      <c r="D40" s="10" t="s">
        <v>607</v>
      </c>
      <c r="E40" s="10" t="s">
        <v>656</v>
      </c>
      <c r="F40" s="10" t="s">
        <v>37</v>
      </c>
      <c r="G40" s="11"/>
      <c r="H40" s="11"/>
      <c r="I40" s="10"/>
      <c r="J40" s="11"/>
      <c r="K40" s="12" t="n">
        <v>44354</v>
      </c>
      <c r="L40" s="12" t="n">
        <v>44354</v>
      </c>
      <c r="M40" s="12"/>
      <c r="N40" s="12"/>
      <c r="O40" s="12"/>
      <c r="P40" s="12"/>
      <c r="Q40" s="12"/>
      <c r="R40" s="12"/>
      <c r="S40" s="12"/>
      <c r="T40" s="12"/>
      <c r="U40" s="12"/>
      <c r="V40" s="12"/>
      <c r="W40" s="10" t="s">
        <v>243</v>
      </c>
      <c r="X40" s="10"/>
      <c r="Y40" s="10" t="s">
        <v>669</v>
      </c>
      <c r="Z40" s="11"/>
      <c r="AA40" s="10"/>
      <c r="AB40" s="9"/>
      <c r="AC40" s="9"/>
      <c r="AD40" s="10"/>
    </row>
    <row r="41" customFormat="false" ht="30" hidden="false" customHeight="true" outlineLevel="0" collapsed="false">
      <c r="A41" s="5" t="n">
        <v>37</v>
      </c>
      <c r="B41" s="6"/>
      <c r="C41" s="6" t="s">
        <v>670</v>
      </c>
      <c r="D41" s="6" t="s">
        <v>671</v>
      </c>
      <c r="E41" s="6" t="s">
        <v>187</v>
      </c>
      <c r="F41" s="6" t="s">
        <v>37</v>
      </c>
      <c r="G41" s="7" t="n">
        <v>8000</v>
      </c>
      <c r="H41" s="7" t="n">
        <v>264000000</v>
      </c>
      <c r="I41" s="6"/>
      <c r="J41" s="7" t="n">
        <v>33000</v>
      </c>
      <c r="K41" s="8" t="n">
        <v>44350</v>
      </c>
      <c r="L41" s="8" t="n">
        <v>44356</v>
      </c>
      <c r="M41" s="8"/>
      <c r="N41" s="8"/>
      <c r="O41" s="8"/>
      <c r="P41" s="8"/>
      <c r="Q41" s="8"/>
      <c r="R41" s="8"/>
      <c r="S41" s="8"/>
      <c r="T41" s="8"/>
      <c r="U41" s="8" t="n">
        <v>44364</v>
      </c>
      <c r="V41" s="8"/>
      <c r="W41" s="6" t="s">
        <v>99</v>
      </c>
      <c r="X41" s="6"/>
      <c r="Y41" s="6" t="s">
        <v>672</v>
      </c>
      <c r="Z41" s="7" t="n">
        <v>262944000</v>
      </c>
      <c r="AA41" s="6"/>
      <c r="AB41" s="5"/>
      <c r="AC41" s="5"/>
      <c r="AD41" s="6"/>
    </row>
    <row r="42" customFormat="false" ht="30" hidden="false" customHeight="true" outlineLevel="0" collapsed="false">
      <c r="A42" s="9" t="n">
        <v>38</v>
      </c>
      <c r="B42" s="10"/>
      <c r="C42" s="10" t="s">
        <v>673</v>
      </c>
      <c r="D42" s="10" t="s">
        <v>565</v>
      </c>
      <c r="E42" s="10" t="s">
        <v>395</v>
      </c>
      <c r="F42" s="10" t="s">
        <v>37</v>
      </c>
      <c r="G42" s="11" t="n">
        <v>256000</v>
      </c>
      <c r="H42" s="11" t="n">
        <v>3897600000</v>
      </c>
      <c r="I42" s="10"/>
      <c r="J42" s="11" t="n">
        <v>15225</v>
      </c>
      <c r="K42" s="12" t="n">
        <v>44245</v>
      </c>
      <c r="L42" s="12" t="n">
        <v>44245</v>
      </c>
      <c r="M42" s="12"/>
      <c r="N42" s="12" t="n">
        <v>44272</v>
      </c>
      <c r="O42" s="12"/>
      <c r="P42" s="12"/>
      <c r="Q42" s="12" t="n">
        <v>44284</v>
      </c>
      <c r="R42" s="12"/>
      <c r="S42" s="12"/>
      <c r="T42" s="12"/>
      <c r="U42" s="12" t="n">
        <v>44284</v>
      </c>
      <c r="V42" s="12"/>
      <c r="W42" s="10" t="s">
        <v>171</v>
      </c>
      <c r="X42" s="10"/>
      <c r="Y42" s="10" t="s">
        <v>674</v>
      </c>
      <c r="Z42" s="11" t="n">
        <v>3514880000</v>
      </c>
      <c r="AA42" s="10"/>
      <c r="AB42" s="9"/>
      <c r="AC42" s="9"/>
      <c r="AD42" s="10"/>
    </row>
    <row r="43" customFormat="false" ht="30" hidden="false" customHeight="true" outlineLevel="0" collapsed="false">
      <c r="A43" s="5" t="n">
        <v>39</v>
      </c>
      <c r="B43" s="6"/>
      <c r="C43" s="6" t="s">
        <v>675</v>
      </c>
      <c r="D43" s="6" t="s">
        <v>676</v>
      </c>
      <c r="E43" s="6" t="s">
        <v>187</v>
      </c>
      <c r="F43" s="6" t="s">
        <v>37</v>
      </c>
      <c r="G43" s="7" t="n">
        <v>40000</v>
      </c>
      <c r="H43" s="7" t="n">
        <v>2000000000</v>
      </c>
      <c r="I43" s="6"/>
      <c r="J43" s="7" t="n">
        <v>50000</v>
      </c>
      <c r="K43" s="8" t="n">
        <v>44202</v>
      </c>
      <c r="L43" s="8" t="n">
        <v>44202</v>
      </c>
      <c r="M43" s="8"/>
      <c r="N43" s="8"/>
      <c r="O43" s="8"/>
      <c r="P43" s="8"/>
      <c r="Q43" s="8" t="n">
        <v>44260</v>
      </c>
      <c r="R43" s="8"/>
      <c r="S43" s="8"/>
      <c r="T43" s="8" t="n">
        <v>44371</v>
      </c>
      <c r="U43" s="8" t="n">
        <v>44399</v>
      </c>
      <c r="V43" s="8"/>
      <c r="W43" s="6" t="s">
        <v>171</v>
      </c>
      <c r="X43" s="6"/>
      <c r="Y43" s="6" t="s">
        <v>677</v>
      </c>
      <c r="Z43" s="7" t="n">
        <v>1550000000</v>
      </c>
      <c r="AA43" s="6"/>
      <c r="AB43" s="5"/>
      <c r="AC43" s="5"/>
      <c r="AD43" s="6"/>
    </row>
    <row r="44" customFormat="false" ht="30" hidden="false" customHeight="true" outlineLevel="0" collapsed="false">
      <c r="A44" s="9" t="n">
        <v>40</v>
      </c>
      <c r="B44" s="10"/>
      <c r="C44" s="10" t="s">
        <v>678</v>
      </c>
      <c r="D44" s="10" t="s">
        <v>679</v>
      </c>
      <c r="E44" s="10" t="s">
        <v>569</v>
      </c>
      <c r="F44" s="10" t="s">
        <v>560</v>
      </c>
      <c r="G44" s="11"/>
      <c r="H44" s="11" t="n">
        <v>2111985550</v>
      </c>
      <c r="I44" s="10"/>
      <c r="J44" s="11"/>
      <c r="K44" s="12" t="n">
        <v>44301</v>
      </c>
      <c r="L44" s="12" t="n">
        <v>44301</v>
      </c>
      <c r="M44" s="12"/>
      <c r="N44" s="12" t="n">
        <v>44343</v>
      </c>
      <c r="O44" s="12"/>
      <c r="P44" s="12"/>
      <c r="Q44" s="12"/>
      <c r="R44" s="12"/>
      <c r="S44" s="12"/>
      <c r="T44" s="12"/>
      <c r="U44" s="12" t="n">
        <v>44378</v>
      </c>
      <c r="V44" s="12"/>
      <c r="W44" s="10" t="s">
        <v>171</v>
      </c>
      <c r="X44" s="10"/>
      <c r="Y44" s="10" t="s">
        <v>680</v>
      </c>
      <c r="Z44" s="11" t="n">
        <v>1690000000</v>
      </c>
      <c r="AA44" s="10"/>
      <c r="AB44" s="9"/>
      <c r="AC44" s="9"/>
      <c r="AD44" s="10"/>
    </row>
    <row r="45" customFormat="false" ht="30" hidden="false" customHeight="true" outlineLevel="0" collapsed="false">
      <c r="A45" s="5" t="n">
        <v>41</v>
      </c>
      <c r="B45" s="6"/>
      <c r="C45" s="6" t="s">
        <v>681</v>
      </c>
      <c r="D45" s="6" t="s">
        <v>599</v>
      </c>
      <c r="E45" s="6" t="s">
        <v>121</v>
      </c>
      <c r="F45" s="6" t="s">
        <v>37</v>
      </c>
      <c r="G45" s="7" t="n">
        <v>31000</v>
      </c>
      <c r="H45" s="7" t="n">
        <v>384400000</v>
      </c>
      <c r="I45" s="6"/>
      <c r="J45" s="7" t="n">
        <v>12400</v>
      </c>
      <c r="K45" s="8" t="n">
        <v>44299</v>
      </c>
      <c r="L45" s="8" t="n">
        <v>44299</v>
      </c>
      <c r="M45" s="8"/>
      <c r="N45" s="8" t="n">
        <v>44326</v>
      </c>
      <c r="O45" s="8"/>
      <c r="P45" s="8"/>
      <c r="Q45" s="8" t="n">
        <v>44354</v>
      </c>
      <c r="R45" s="8"/>
      <c r="S45" s="8"/>
      <c r="T45" s="8" t="n">
        <v>44385</v>
      </c>
      <c r="U45" s="8" t="n">
        <v>44418</v>
      </c>
      <c r="V45" s="8"/>
      <c r="W45" s="6" t="s">
        <v>171</v>
      </c>
      <c r="X45" s="6"/>
      <c r="Y45" s="6" t="s">
        <v>682</v>
      </c>
      <c r="Z45" s="7" t="n">
        <v>346301000</v>
      </c>
      <c r="AA45" s="6"/>
      <c r="AB45" s="5"/>
      <c r="AC45" s="5"/>
      <c r="AD45" s="6"/>
    </row>
    <row r="46" customFormat="false" ht="30" hidden="false" customHeight="true" outlineLevel="0" collapsed="false">
      <c r="A46" s="9" t="n">
        <v>42</v>
      </c>
      <c r="B46" s="10"/>
      <c r="C46" s="10" t="s">
        <v>683</v>
      </c>
      <c r="D46" s="10" t="s">
        <v>599</v>
      </c>
      <c r="E46" s="10" t="s">
        <v>684</v>
      </c>
      <c r="F46" s="10" t="s">
        <v>37</v>
      </c>
      <c r="G46" s="11" t="n">
        <v>273000</v>
      </c>
      <c r="H46" s="11" t="n">
        <v>9828000000</v>
      </c>
      <c r="I46" s="10"/>
      <c r="J46" s="11" t="n">
        <v>36000</v>
      </c>
      <c r="K46" s="12" t="n">
        <v>44335</v>
      </c>
      <c r="L46" s="12" t="n">
        <v>44337</v>
      </c>
      <c r="M46" s="12"/>
      <c r="N46" s="12"/>
      <c r="O46" s="12"/>
      <c r="P46" s="12"/>
      <c r="Q46" s="12" t="n">
        <v>44391</v>
      </c>
      <c r="R46" s="12"/>
      <c r="S46" s="12"/>
      <c r="T46" s="12"/>
      <c r="U46" s="12" t="n">
        <v>44426</v>
      </c>
      <c r="V46" s="12"/>
      <c r="W46" s="10" t="s">
        <v>171</v>
      </c>
      <c r="X46" s="10"/>
      <c r="Y46" s="10" t="s">
        <v>685</v>
      </c>
      <c r="Z46" s="11" t="n">
        <v>7520877000</v>
      </c>
      <c r="AA46" s="10"/>
      <c r="AB46" s="9"/>
      <c r="AC46" s="9"/>
      <c r="AD46" s="10"/>
    </row>
    <row r="47" customFormat="false" ht="30" hidden="false" customHeight="true" outlineLevel="0" collapsed="false">
      <c r="A47" s="5" t="n">
        <v>43</v>
      </c>
      <c r="B47" s="6"/>
      <c r="C47" s="6" t="s">
        <v>540</v>
      </c>
      <c r="D47" s="6" t="s">
        <v>686</v>
      </c>
      <c r="E47" s="6" t="s">
        <v>308</v>
      </c>
      <c r="F47" s="6" t="s">
        <v>37</v>
      </c>
      <c r="G47" s="7" t="n">
        <v>47000</v>
      </c>
      <c r="H47" s="7" t="n">
        <v>1480500000</v>
      </c>
      <c r="I47" s="6"/>
      <c r="J47" s="7" t="n">
        <v>31500</v>
      </c>
      <c r="K47" s="8" t="n">
        <v>44421</v>
      </c>
      <c r="L47" s="8" t="n">
        <v>44421</v>
      </c>
      <c r="M47" s="8"/>
      <c r="N47" s="8" t="n">
        <v>44440</v>
      </c>
      <c r="O47" s="8"/>
      <c r="P47" s="8"/>
      <c r="Q47" s="8" t="n">
        <v>44497</v>
      </c>
      <c r="R47" s="8"/>
      <c r="S47" s="8"/>
      <c r="T47" s="8"/>
      <c r="U47" s="8" t="n">
        <v>44546</v>
      </c>
      <c r="V47" s="8"/>
      <c r="W47" s="6" t="s">
        <v>171</v>
      </c>
      <c r="X47" s="6" t="s">
        <v>566</v>
      </c>
      <c r="Y47" s="6" t="s">
        <v>687</v>
      </c>
      <c r="Z47" s="7"/>
      <c r="AA47" s="6"/>
      <c r="AB47" s="5"/>
      <c r="AC47" s="5"/>
      <c r="AD47" s="6"/>
    </row>
    <row r="48" customFormat="false" ht="30" hidden="false" customHeight="true" outlineLevel="0" collapsed="false">
      <c r="A48" s="9" t="n">
        <v>44</v>
      </c>
      <c r="B48" s="10"/>
      <c r="C48" s="10" t="s">
        <v>513</v>
      </c>
      <c r="D48" s="10" t="s">
        <v>514</v>
      </c>
      <c r="E48" s="10" t="s">
        <v>515</v>
      </c>
      <c r="F48" s="10" t="s">
        <v>489</v>
      </c>
      <c r="G48" s="11"/>
      <c r="H48" s="11"/>
      <c r="I48" s="10" t="s">
        <v>516</v>
      </c>
      <c r="J48" s="11"/>
      <c r="K48" s="12" t="n">
        <v>44139</v>
      </c>
      <c r="L48" s="12" t="n">
        <v>44155</v>
      </c>
      <c r="M48" s="12"/>
      <c r="N48" s="12" t="n">
        <v>44281</v>
      </c>
      <c r="O48" s="12"/>
      <c r="P48" s="12" t="n">
        <v>44285</v>
      </c>
      <c r="Q48" s="12" t="n">
        <v>44545</v>
      </c>
      <c r="R48" s="12"/>
      <c r="S48" s="12" t="n">
        <v>44544</v>
      </c>
      <c r="T48" s="12"/>
      <c r="U48" s="12" t="n">
        <v>44544</v>
      </c>
      <c r="V48" s="12"/>
      <c r="W48" s="10"/>
      <c r="X48" s="10" t="s">
        <v>566</v>
      </c>
      <c r="Y48" s="10"/>
      <c r="Z48" s="11"/>
      <c r="AA48" s="10"/>
      <c r="AB48" s="9"/>
      <c r="AC48" s="9"/>
      <c r="AD48" s="10"/>
    </row>
    <row r="49" customFormat="false" ht="30" hidden="false" customHeight="true" outlineLevel="0" collapsed="false">
      <c r="A49" s="5" t="n">
        <v>45</v>
      </c>
      <c r="B49" s="6"/>
      <c r="C49" s="6" t="s">
        <v>528</v>
      </c>
      <c r="D49" s="6" t="s">
        <v>686</v>
      </c>
      <c r="E49" s="6" t="s">
        <v>187</v>
      </c>
      <c r="F49" s="6" t="s">
        <v>37</v>
      </c>
      <c r="G49" s="7"/>
      <c r="H49" s="7"/>
      <c r="I49" s="6"/>
      <c r="J49" s="7"/>
      <c r="K49" s="8" t="n">
        <v>44398</v>
      </c>
      <c r="L49" s="8" t="n">
        <v>44398</v>
      </c>
      <c r="M49" s="8"/>
      <c r="N49" s="8"/>
      <c r="O49" s="8"/>
      <c r="P49" s="8"/>
      <c r="Q49" s="8" t="n">
        <v>44441</v>
      </c>
      <c r="R49" s="8"/>
      <c r="S49" s="8"/>
      <c r="T49" s="8" t="n">
        <v>44539</v>
      </c>
      <c r="U49" s="8"/>
      <c r="V49" s="8"/>
      <c r="W49" s="6"/>
      <c r="X49" s="6" t="s">
        <v>566</v>
      </c>
      <c r="Y49" s="6" t="s">
        <v>688</v>
      </c>
      <c r="Z49" s="7"/>
      <c r="AA49" s="6"/>
      <c r="AB49" s="5"/>
      <c r="AC49" s="5"/>
      <c r="AD49" s="6"/>
    </row>
    <row r="50" customFormat="false" ht="30" hidden="false" customHeight="true" outlineLevel="0" collapsed="false">
      <c r="A50" s="9" t="n">
        <v>46</v>
      </c>
      <c r="B50" s="10"/>
      <c r="C50" s="10" t="s">
        <v>689</v>
      </c>
      <c r="D50" s="10" t="s">
        <v>571</v>
      </c>
      <c r="E50" s="10" t="s">
        <v>690</v>
      </c>
      <c r="F50" s="10" t="s">
        <v>560</v>
      </c>
      <c r="G50" s="11" t="n">
        <v>30000</v>
      </c>
      <c r="H50" s="11" t="n">
        <v>47207456021</v>
      </c>
      <c r="I50" s="10"/>
      <c r="J50" s="11" t="n">
        <v>1573581.867</v>
      </c>
      <c r="K50" s="12" t="n">
        <v>44481</v>
      </c>
      <c r="L50" s="12" t="n">
        <v>44481</v>
      </c>
      <c r="M50" s="12"/>
      <c r="N50" s="12" t="n">
        <v>44512</v>
      </c>
      <c r="O50" s="12"/>
      <c r="P50" s="12" t="n">
        <v>44522</v>
      </c>
      <c r="Q50" s="12"/>
      <c r="R50" s="12"/>
      <c r="S50" s="12" t="n">
        <v>44529</v>
      </c>
      <c r="T50" s="12"/>
      <c r="U50" s="12"/>
      <c r="V50" s="12"/>
      <c r="W50" s="10"/>
      <c r="X50" s="10"/>
      <c r="Y50" s="10" t="s">
        <v>691</v>
      </c>
      <c r="Z50" s="11"/>
      <c r="AA50" s="10"/>
      <c r="AB50" s="9"/>
      <c r="AC50" s="9"/>
      <c r="AD50" s="10"/>
    </row>
    <row r="51" customFormat="false" ht="30" hidden="false" customHeight="true" outlineLevel="0" collapsed="false">
      <c r="A51" s="5" t="n">
        <v>47</v>
      </c>
      <c r="B51" s="6"/>
      <c r="C51" s="6" t="s">
        <v>518</v>
      </c>
      <c r="D51" s="6" t="s">
        <v>692</v>
      </c>
      <c r="E51" s="6" t="s">
        <v>519</v>
      </c>
      <c r="F51" s="6" t="s">
        <v>37</v>
      </c>
      <c r="G51" s="7" t="n">
        <v>50000</v>
      </c>
      <c r="H51" s="7" t="n">
        <v>2436250000</v>
      </c>
      <c r="I51" s="6"/>
      <c r="J51" s="7" t="n">
        <v>48725</v>
      </c>
      <c r="K51" s="8" t="n">
        <v>44445</v>
      </c>
      <c r="L51" s="8" t="n">
        <v>44445</v>
      </c>
      <c r="M51" s="8"/>
      <c r="N51" s="8" t="n">
        <v>44523</v>
      </c>
      <c r="O51" s="8"/>
      <c r="P51" s="8"/>
      <c r="Q51" s="8" t="n">
        <v>44543</v>
      </c>
      <c r="R51" s="8" t="n">
        <v>44551</v>
      </c>
      <c r="S51" s="8" t="n">
        <v>44543</v>
      </c>
      <c r="T51" s="8"/>
      <c r="U51" s="8"/>
      <c r="V51" s="8"/>
      <c r="W51" s="6"/>
      <c r="X51" s="6" t="s">
        <v>566</v>
      </c>
      <c r="Y51" s="6" t="s">
        <v>693</v>
      </c>
      <c r="Z51" s="7"/>
      <c r="AA51" s="6"/>
      <c r="AB51" s="5"/>
      <c r="AC51" s="5"/>
      <c r="AD51" s="6"/>
    </row>
    <row r="52" customFormat="false" ht="30" hidden="false" customHeight="true" outlineLevel="0" collapsed="false">
      <c r="A52" s="9" t="n">
        <v>48</v>
      </c>
      <c r="B52" s="10"/>
      <c r="C52" s="10" t="s">
        <v>521</v>
      </c>
      <c r="D52" s="10" t="s">
        <v>607</v>
      </c>
      <c r="E52" s="10" t="s">
        <v>523</v>
      </c>
      <c r="F52" s="10" t="s">
        <v>37</v>
      </c>
      <c r="G52" s="11" t="n">
        <v>118844</v>
      </c>
      <c r="H52" s="11" t="n">
        <v>4630814000</v>
      </c>
      <c r="I52" s="10"/>
      <c r="J52" s="11" t="n">
        <v>38965.48416</v>
      </c>
      <c r="K52" s="12" t="n">
        <v>44502</v>
      </c>
      <c r="L52" s="12" t="n">
        <v>44502</v>
      </c>
      <c r="M52" s="12"/>
      <c r="N52" s="12" t="n">
        <v>44523</v>
      </c>
      <c r="O52" s="12"/>
      <c r="P52" s="12"/>
      <c r="Q52" s="12" t="n">
        <v>44547</v>
      </c>
      <c r="R52" s="12" t="n">
        <v>44557</v>
      </c>
      <c r="S52" s="12" t="n">
        <v>44551</v>
      </c>
      <c r="T52" s="12"/>
      <c r="U52" s="12"/>
      <c r="V52" s="12"/>
      <c r="W52" s="10"/>
      <c r="X52" s="10" t="s">
        <v>566</v>
      </c>
      <c r="Y52" s="10"/>
      <c r="Z52" s="11"/>
      <c r="AA52" s="10"/>
      <c r="AB52" s="9"/>
      <c r="AC52" s="9"/>
      <c r="AD52" s="10"/>
    </row>
    <row r="53" customFormat="false" ht="30" hidden="false" customHeight="true" outlineLevel="0" collapsed="false">
      <c r="A53" s="5" t="n">
        <v>49</v>
      </c>
      <c r="B53" s="6"/>
      <c r="C53" s="6" t="s">
        <v>530</v>
      </c>
      <c r="D53" s="6" t="s">
        <v>694</v>
      </c>
      <c r="E53" s="6" t="s">
        <v>200</v>
      </c>
      <c r="F53" s="6" t="s">
        <v>37</v>
      </c>
      <c r="G53" s="7" t="n">
        <v>90000</v>
      </c>
      <c r="H53" s="7" t="n">
        <v>2857500000</v>
      </c>
      <c r="I53" s="6"/>
      <c r="J53" s="7" t="n">
        <v>31750</v>
      </c>
      <c r="K53" s="8" t="n">
        <v>44503</v>
      </c>
      <c r="L53" s="8" t="n">
        <v>44503</v>
      </c>
      <c r="M53" s="8"/>
      <c r="N53" s="8" t="n">
        <v>44524</v>
      </c>
      <c r="O53" s="8"/>
      <c r="P53" s="8" t="n">
        <v>44530</v>
      </c>
      <c r="Q53" s="8" t="n">
        <v>44552</v>
      </c>
      <c r="R53" s="8" t="n">
        <v>44559</v>
      </c>
      <c r="S53" s="8" t="n">
        <v>44546</v>
      </c>
      <c r="T53" s="8"/>
      <c r="U53" s="8"/>
      <c r="V53" s="8"/>
      <c r="W53" s="6"/>
      <c r="X53" s="6" t="s">
        <v>566</v>
      </c>
      <c r="Y53" s="6"/>
      <c r="Z53" s="7"/>
      <c r="AA53" s="6"/>
      <c r="AB53" s="5"/>
      <c r="AC53" s="5"/>
      <c r="AD53" s="6"/>
    </row>
    <row r="54" customFormat="false" ht="30" hidden="false" customHeight="true" outlineLevel="0" collapsed="false">
      <c r="A54" s="9" t="n">
        <v>50</v>
      </c>
      <c r="B54" s="10"/>
      <c r="C54" s="10" t="s">
        <v>538</v>
      </c>
      <c r="D54" s="10" t="s">
        <v>695</v>
      </c>
      <c r="E54" s="10" t="s">
        <v>187</v>
      </c>
      <c r="F54" s="10" t="s">
        <v>37</v>
      </c>
      <c r="G54" s="11" t="n">
        <v>36000</v>
      </c>
      <c r="H54" s="11" t="n">
        <v>1944000000</v>
      </c>
      <c r="I54" s="10"/>
      <c r="J54" s="11" t="n">
        <v>54000</v>
      </c>
      <c r="K54" s="12" t="n">
        <v>44412</v>
      </c>
      <c r="L54" s="12" t="n">
        <v>44412</v>
      </c>
      <c r="M54" s="12"/>
      <c r="N54" s="12" t="n">
        <v>44455</v>
      </c>
      <c r="O54" s="12"/>
      <c r="P54" s="12"/>
      <c r="Q54" s="12" t="n">
        <v>44483</v>
      </c>
      <c r="R54" s="12"/>
      <c r="S54" s="12"/>
      <c r="T54" s="12"/>
      <c r="U54" s="12" t="n">
        <v>44483</v>
      </c>
      <c r="V54" s="12"/>
      <c r="W54" s="10"/>
      <c r="X54" s="10" t="s">
        <v>566</v>
      </c>
      <c r="Y54" s="10" t="s">
        <v>693</v>
      </c>
      <c r="Z54" s="11"/>
      <c r="AA54" s="10"/>
      <c r="AB54" s="9"/>
      <c r="AC54" s="9"/>
      <c r="AD54" s="10"/>
    </row>
    <row r="55" customFormat="false" ht="30" hidden="false" customHeight="true" outlineLevel="0" collapsed="false">
      <c r="A55" s="5" t="n">
        <v>51</v>
      </c>
      <c r="B55" s="6"/>
      <c r="C55" s="6" t="s">
        <v>510</v>
      </c>
      <c r="D55" s="6" t="s">
        <v>511</v>
      </c>
      <c r="E55" s="6" t="s">
        <v>200</v>
      </c>
      <c r="F55" s="6" t="s">
        <v>37</v>
      </c>
      <c r="G55" s="7"/>
      <c r="H55" s="7"/>
      <c r="I55" s="6"/>
      <c r="J55" s="7"/>
      <c r="K55" s="8" t="n">
        <v>44441</v>
      </c>
      <c r="L55" s="8" t="n">
        <v>44441</v>
      </c>
      <c r="M55" s="8"/>
      <c r="N55" s="8"/>
      <c r="O55" s="8"/>
      <c r="P55" s="8" t="n">
        <v>44459</v>
      </c>
      <c r="Q55" s="8" t="n">
        <v>44484</v>
      </c>
      <c r="R55" s="8" t="n">
        <v>44491</v>
      </c>
      <c r="S55" s="8"/>
      <c r="T55" s="8"/>
      <c r="U55" s="8"/>
      <c r="V55" s="8"/>
      <c r="W55" s="6" t="s">
        <v>90</v>
      </c>
      <c r="X55" s="6" t="s">
        <v>566</v>
      </c>
      <c r="Y55" s="6" t="s">
        <v>512</v>
      </c>
      <c r="Z55" s="7"/>
      <c r="AA55" s="6"/>
      <c r="AB55" s="5"/>
      <c r="AC55" s="5"/>
      <c r="AD55" s="6"/>
    </row>
    <row r="56" customFormat="false" ht="30" hidden="false" customHeight="true" outlineLevel="0" collapsed="false">
      <c r="A56" s="9" t="n">
        <v>52</v>
      </c>
      <c r="B56" s="10"/>
      <c r="C56" s="10" t="s">
        <v>471</v>
      </c>
      <c r="D56" s="10" t="s">
        <v>472</v>
      </c>
      <c r="E56" s="10" t="s">
        <v>439</v>
      </c>
      <c r="F56" s="10" t="s">
        <v>37</v>
      </c>
      <c r="G56" s="11"/>
      <c r="H56" s="11"/>
      <c r="I56" s="10"/>
      <c r="J56" s="11"/>
      <c r="K56" s="12" t="n">
        <v>44371</v>
      </c>
      <c r="L56" s="12" t="n">
        <v>44372</v>
      </c>
      <c r="M56" s="12"/>
      <c r="N56" s="12"/>
      <c r="O56" s="12"/>
      <c r="P56" s="12"/>
      <c r="Q56" s="12"/>
      <c r="R56" s="12"/>
      <c r="S56" s="12"/>
      <c r="T56" s="12"/>
      <c r="U56" s="12"/>
      <c r="V56" s="12"/>
      <c r="W56" s="10"/>
      <c r="X56" s="10" t="s">
        <v>566</v>
      </c>
      <c r="Y56" s="10" t="s">
        <v>696</v>
      </c>
      <c r="Z56" s="11"/>
      <c r="AA56" s="10"/>
      <c r="AB56" s="9"/>
      <c r="AC56" s="9"/>
      <c r="AD56" s="10"/>
    </row>
    <row r="57" customFormat="false" ht="30" hidden="false" customHeight="true" outlineLevel="0" collapsed="false">
      <c r="A57" s="5" t="n">
        <v>53</v>
      </c>
      <c r="B57" s="6"/>
      <c r="C57" s="6" t="s">
        <v>697</v>
      </c>
      <c r="D57" s="6" t="s">
        <v>649</v>
      </c>
      <c r="E57" s="6" t="s">
        <v>650</v>
      </c>
      <c r="F57" s="6" t="s">
        <v>560</v>
      </c>
      <c r="G57" s="7"/>
      <c r="H57" s="7"/>
      <c r="I57" s="6"/>
      <c r="J57" s="7"/>
      <c r="K57" s="8" t="n">
        <v>44285</v>
      </c>
      <c r="L57" s="8" t="n">
        <v>44285</v>
      </c>
      <c r="M57" s="8"/>
      <c r="N57" s="8"/>
      <c r="O57" s="8"/>
      <c r="P57" s="8"/>
      <c r="Q57" s="8"/>
      <c r="R57" s="8"/>
      <c r="S57" s="8"/>
      <c r="T57" s="8"/>
      <c r="U57" s="8"/>
      <c r="V57" s="8"/>
      <c r="W57" s="6"/>
      <c r="X57" s="6"/>
      <c r="Y57" s="6"/>
      <c r="Z57" s="7"/>
      <c r="AA57" s="6"/>
      <c r="AB57" s="5"/>
      <c r="AC57" s="5"/>
      <c r="AD57" s="6"/>
    </row>
    <row r="58" customFormat="false" ht="30" hidden="false" customHeight="true" outlineLevel="0" collapsed="false">
      <c r="A58" s="9" t="n">
        <v>54</v>
      </c>
      <c r="B58" s="10"/>
      <c r="C58" s="10" t="s">
        <v>698</v>
      </c>
      <c r="D58" s="10" t="s">
        <v>607</v>
      </c>
      <c r="E58" s="10" t="s">
        <v>699</v>
      </c>
      <c r="F58" s="10" t="s">
        <v>560</v>
      </c>
      <c r="G58" s="11"/>
      <c r="H58" s="11"/>
      <c r="I58" s="10"/>
      <c r="J58" s="11"/>
      <c r="K58" s="12" t="n">
        <v>44496</v>
      </c>
      <c r="L58" s="12" t="n">
        <v>44496</v>
      </c>
      <c r="M58" s="12"/>
      <c r="N58" s="12"/>
      <c r="O58" s="12"/>
      <c r="P58" s="12"/>
      <c r="Q58" s="12"/>
      <c r="R58" s="12"/>
      <c r="S58" s="12"/>
      <c r="T58" s="12"/>
      <c r="U58" s="12"/>
      <c r="V58" s="12"/>
      <c r="W58" s="10"/>
      <c r="X58" s="10"/>
      <c r="Y58" s="10"/>
      <c r="Z58" s="11"/>
      <c r="AA58" s="10"/>
      <c r="AB58" s="9"/>
      <c r="AC58" s="9"/>
      <c r="AD58" s="10"/>
    </row>
    <row r="59" customFormat="false" ht="30" hidden="false" customHeight="true" outlineLevel="0" collapsed="false">
      <c r="A59" s="5" t="n">
        <v>55</v>
      </c>
      <c r="B59" s="6"/>
      <c r="C59" s="6" t="s">
        <v>700</v>
      </c>
      <c r="D59" s="6" t="s">
        <v>701</v>
      </c>
      <c r="E59" s="6" t="s">
        <v>702</v>
      </c>
      <c r="F59" s="6" t="s">
        <v>560</v>
      </c>
      <c r="G59" s="7" t="n">
        <v>1190404500</v>
      </c>
      <c r="H59" s="7"/>
      <c r="I59" s="6"/>
      <c r="J59" s="7"/>
      <c r="K59" s="8" t="n">
        <v>44498</v>
      </c>
      <c r="L59" s="8" t="n">
        <v>44504</v>
      </c>
      <c r="M59" s="8"/>
      <c r="N59" s="8" t="n">
        <v>44537</v>
      </c>
      <c r="O59" s="8"/>
      <c r="P59" s="8"/>
      <c r="Q59" s="8"/>
      <c r="R59" s="8"/>
      <c r="S59" s="8"/>
      <c r="T59" s="8"/>
      <c r="U59" s="8"/>
      <c r="V59" s="8"/>
      <c r="W59" s="6"/>
      <c r="X59" s="6"/>
      <c r="Y59" s="6"/>
      <c r="Z59" s="7"/>
      <c r="AA59" s="6"/>
      <c r="AB59" s="5"/>
      <c r="AC59" s="5"/>
      <c r="AD59" s="6"/>
    </row>
    <row r="60" customFormat="false" ht="30" hidden="false" customHeight="true" outlineLevel="0" collapsed="false">
      <c r="A60" s="9" t="n">
        <v>56</v>
      </c>
      <c r="B60" s="10"/>
      <c r="C60" s="10" t="s">
        <v>703</v>
      </c>
      <c r="D60" s="10" t="s">
        <v>704</v>
      </c>
      <c r="E60" s="10" t="s">
        <v>121</v>
      </c>
      <c r="F60" s="10" t="s">
        <v>37</v>
      </c>
      <c r="G60" s="11" t="n">
        <v>174724</v>
      </c>
      <c r="H60" s="11" t="n">
        <v>3415854200</v>
      </c>
      <c r="I60" s="10"/>
      <c r="J60" s="11" t="n">
        <v>19550</v>
      </c>
      <c r="K60" s="12" t="n">
        <v>44512</v>
      </c>
      <c r="L60" s="12" t="n">
        <v>44512</v>
      </c>
      <c r="M60" s="12"/>
      <c r="N60" s="12"/>
      <c r="O60" s="12"/>
      <c r="P60" s="12"/>
      <c r="Q60" s="12"/>
      <c r="R60" s="12"/>
      <c r="S60" s="12"/>
      <c r="T60" s="12"/>
      <c r="U60" s="12"/>
      <c r="V60" s="12"/>
      <c r="W60" s="10"/>
      <c r="X60" s="10"/>
      <c r="Y60" s="10"/>
      <c r="Z60" s="11"/>
      <c r="AA60" s="10"/>
      <c r="AB60" s="9"/>
      <c r="AC60" s="9"/>
      <c r="AD60" s="10"/>
    </row>
    <row r="61" customFormat="false" ht="30" hidden="false" customHeight="true" outlineLevel="0" collapsed="false">
      <c r="A61" s="5" t="n">
        <v>57</v>
      </c>
      <c r="B61" s="6"/>
      <c r="C61" s="6" t="s">
        <v>705</v>
      </c>
      <c r="D61" s="6" t="s">
        <v>574</v>
      </c>
      <c r="E61" s="6" t="s">
        <v>706</v>
      </c>
      <c r="F61" s="6" t="s">
        <v>560</v>
      </c>
      <c r="G61" s="7" t="n">
        <v>3000</v>
      </c>
      <c r="H61" s="7" t="n">
        <v>32875000000</v>
      </c>
      <c r="I61" s="6"/>
      <c r="J61" s="7" t="n">
        <v>10958333.33</v>
      </c>
      <c r="K61" s="8" t="n">
        <v>44523</v>
      </c>
      <c r="L61" s="8" t="n">
        <v>44523</v>
      </c>
      <c r="M61" s="8"/>
      <c r="N61" s="8" t="n">
        <v>44550</v>
      </c>
      <c r="O61" s="8"/>
      <c r="P61" s="8"/>
      <c r="Q61" s="8"/>
      <c r="R61" s="8"/>
      <c r="S61" s="8" t="n">
        <v>44579</v>
      </c>
      <c r="T61" s="8"/>
      <c r="U61" s="8"/>
      <c r="V61" s="8"/>
      <c r="W61" s="6"/>
      <c r="X61" s="6"/>
      <c r="Y61" s="6"/>
      <c r="Z61" s="7"/>
      <c r="AA61" s="6"/>
      <c r="AB61" s="5"/>
      <c r="AC61" s="5"/>
      <c r="AD61" s="6"/>
    </row>
    <row r="62" customFormat="false" ht="30" hidden="false" customHeight="true" outlineLevel="0" collapsed="false">
      <c r="A62" s="9" t="n">
        <v>58</v>
      </c>
      <c r="B62" s="10"/>
      <c r="C62" s="10" t="s">
        <v>707</v>
      </c>
      <c r="D62" s="10" t="s">
        <v>708</v>
      </c>
      <c r="E62" s="10" t="s">
        <v>709</v>
      </c>
      <c r="F62" s="10" t="s">
        <v>560</v>
      </c>
      <c r="G62" s="11"/>
      <c r="H62" s="11"/>
      <c r="I62" s="10"/>
      <c r="J62" s="11"/>
      <c r="K62" s="12" t="n">
        <v>44524</v>
      </c>
      <c r="L62" s="12" t="n">
        <v>44530</v>
      </c>
      <c r="M62" s="12"/>
      <c r="N62" s="12"/>
      <c r="O62" s="12"/>
      <c r="P62" s="12"/>
      <c r="Q62" s="12"/>
      <c r="R62" s="12"/>
      <c r="S62" s="12"/>
      <c r="T62" s="12"/>
      <c r="U62" s="12"/>
      <c r="V62" s="12"/>
      <c r="W62" s="10"/>
      <c r="X62" s="10"/>
      <c r="Y62" s="10"/>
      <c r="Z62" s="11"/>
      <c r="AA62" s="10"/>
      <c r="AB62" s="9"/>
      <c r="AC62" s="9"/>
      <c r="AD62" s="10"/>
    </row>
    <row r="63" customFormat="false" ht="30" hidden="false" customHeight="true" outlineLevel="0" collapsed="false">
      <c r="A63" s="5" t="n">
        <v>59</v>
      </c>
      <c r="B63" s="6"/>
      <c r="C63" s="6" t="s">
        <v>710</v>
      </c>
      <c r="D63" s="6" t="s">
        <v>607</v>
      </c>
      <c r="E63" s="6" t="s">
        <v>711</v>
      </c>
      <c r="F63" s="6" t="s">
        <v>560</v>
      </c>
      <c r="G63" s="7"/>
      <c r="H63" s="7"/>
      <c r="I63" s="6"/>
      <c r="J63" s="7"/>
      <c r="K63" s="8" t="n">
        <v>44525</v>
      </c>
      <c r="L63" s="8" t="n">
        <v>44525</v>
      </c>
      <c r="M63" s="8"/>
      <c r="N63" s="8"/>
      <c r="O63" s="8"/>
      <c r="P63" s="8"/>
      <c r="Q63" s="8"/>
      <c r="R63" s="8"/>
      <c r="S63" s="8"/>
      <c r="T63" s="8"/>
      <c r="U63" s="8"/>
      <c r="V63" s="8"/>
      <c r="W63" s="6"/>
      <c r="X63" s="6"/>
      <c r="Y63" s="6"/>
      <c r="Z63" s="7"/>
      <c r="AA63" s="6"/>
      <c r="AB63" s="5"/>
      <c r="AC63" s="5"/>
      <c r="AD63" s="6"/>
    </row>
    <row r="64" customFormat="false" ht="30" hidden="false" customHeight="true" outlineLevel="0" collapsed="false">
      <c r="A64" s="9" t="n">
        <v>60</v>
      </c>
      <c r="B64" s="10"/>
      <c r="C64" s="10" t="s">
        <v>712</v>
      </c>
      <c r="D64" s="10" t="s">
        <v>694</v>
      </c>
      <c r="E64" s="10" t="s">
        <v>713</v>
      </c>
      <c r="F64" s="10" t="s">
        <v>560</v>
      </c>
      <c r="G64" s="11"/>
      <c r="H64" s="11"/>
      <c r="I64" s="10"/>
      <c r="J64" s="11"/>
      <c r="K64" s="12" t="n">
        <v>44525</v>
      </c>
      <c r="L64" s="12" t="n">
        <v>44525</v>
      </c>
      <c r="M64" s="12"/>
      <c r="N64" s="12"/>
      <c r="O64" s="12"/>
      <c r="P64" s="12"/>
      <c r="Q64" s="12"/>
      <c r="R64" s="12"/>
      <c r="S64" s="12"/>
      <c r="T64" s="12"/>
      <c r="U64" s="12"/>
      <c r="V64" s="12"/>
      <c r="W64" s="10"/>
      <c r="X64" s="10"/>
      <c r="Y64" s="10"/>
      <c r="Z64" s="11"/>
      <c r="AA64" s="10"/>
      <c r="AB64" s="9"/>
      <c r="AC64" s="9"/>
      <c r="AD64" s="10"/>
    </row>
    <row r="65" customFormat="false" ht="30" hidden="false" customHeight="true" outlineLevel="0" collapsed="false">
      <c r="A65" s="5" t="n">
        <v>61</v>
      </c>
      <c r="B65" s="6"/>
      <c r="C65" s="6" t="s">
        <v>714</v>
      </c>
      <c r="D65" s="6" t="s">
        <v>694</v>
      </c>
      <c r="E65" s="6" t="s">
        <v>715</v>
      </c>
      <c r="F65" s="6" t="s">
        <v>560</v>
      </c>
      <c r="G65" s="7"/>
      <c r="H65" s="7"/>
      <c r="I65" s="6"/>
      <c r="J65" s="7"/>
      <c r="K65" s="8" t="n">
        <v>44525</v>
      </c>
      <c r="L65" s="8" t="n">
        <v>44525</v>
      </c>
      <c r="M65" s="8"/>
      <c r="N65" s="8"/>
      <c r="O65" s="8"/>
      <c r="P65" s="8"/>
      <c r="Q65" s="8"/>
      <c r="R65" s="8"/>
      <c r="S65" s="8"/>
      <c r="T65" s="8"/>
      <c r="U65" s="8"/>
      <c r="V65" s="8"/>
      <c r="W65" s="6"/>
      <c r="X65" s="6"/>
      <c r="Y65" s="6"/>
      <c r="Z65" s="7"/>
      <c r="AA65" s="6"/>
      <c r="AB65" s="5"/>
      <c r="AC65" s="5"/>
      <c r="AD65" s="6"/>
    </row>
    <row r="66" customFormat="false" ht="30" hidden="false" customHeight="true" outlineLevel="0" collapsed="false">
      <c r="A66" s="9" t="n">
        <v>62</v>
      </c>
      <c r="B66" s="10"/>
      <c r="C66" s="10" t="s">
        <v>542</v>
      </c>
      <c r="D66" s="10" t="s">
        <v>716</v>
      </c>
      <c r="E66" s="10" t="s">
        <v>187</v>
      </c>
      <c r="F66" s="10" t="s">
        <v>37</v>
      </c>
      <c r="G66" s="11"/>
      <c r="H66" s="11"/>
      <c r="I66" s="10"/>
      <c r="J66" s="11"/>
      <c r="K66" s="12" t="n">
        <v>44533</v>
      </c>
      <c r="L66" s="12" t="n">
        <v>44533</v>
      </c>
      <c r="M66" s="12"/>
      <c r="N66" s="12"/>
      <c r="O66" s="12"/>
      <c r="P66" s="12"/>
      <c r="Q66" s="12"/>
      <c r="R66" s="12"/>
      <c r="S66" s="12"/>
      <c r="T66" s="12"/>
      <c r="U66" s="12"/>
      <c r="V66" s="12"/>
      <c r="W66" s="10"/>
      <c r="X66" s="10" t="s">
        <v>566</v>
      </c>
      <c r="Y66" s="10"/>
      <c r="Z66" s="11"/>
      <c r="AA66" s="10"/>
      <c r="AB66" s="9"/>
      <c r="AC66" s="9"/>
      <c r="AD66" s="10"/>
    </row>
    <row r="67" customFormat="false" ht="30" hidden="false" customHeight="true" outlineLevel="0" collapsed="false">
      <c r="A67" s="5" t="n">
        <v>63</v>
      </c>
      <c r="B67" s="6"/>
      <c r="C67" s="6" t="s">
        <v>533</v>
      </c>
      <c r="D67" s="6" t="s">
        <v>565</v>
      </c>
      <c r="E67" s="6" t="s">
        <v>308</v>
      </c>
      <c r="F67" s="6" t="s">
        <v>37</v>
      </c>
      <c r="G67" s="7"/>
      <c r="H67" s="7"/>
      <c r="I67" s="6"/>
      <c r="J67" s="7"/>
      <c r="K67" s="8" t="n">
        <v>44536</v>
      </c>
      <c r="L67" s="8" t="n">
        <v>44536</v>
      </c>
      <c r="M67" s="8"/>
      <c r="N67" s="8"/>
      <c r="O67" s="8"/>
      <c r="P67" s="8"/>
      <c r="Q67" s="8"/>
      <c r="R67" s="8"/>
      <c r="S67" s="8"/>
      <c r="T67" s="8"/>
      <c r="U67" s="8"/>
      <c r="V67" s="8"/>
      <c r="W67" s="6"/>
      <c r="X67" s="6" t="s">
        <v>566</v>
      </c>
      <c r="Y67" s="6"/>
      <c r="Z67" s="7"/>
      <c r="AA67" s="6"/>
      <c r="AB67" s="5"/>
      <c r="AC67" s="5"/>
      <c r="AD67" s="6"/>
    </row>
    <row r="68" customFormat="false" ht="30" hidden="false" customHeight="true" outlineLevel="0" collapsed="false">
      <c r="A68" s="9" t="n">
        <v>64</v>
      </c>
      <c r="B68" s="10"/>
      <c r="C68" s="10" t="s">
        <v>717</v>
      </c>
      <c r="D68" s="10" t="s">
        <v>718</v>
      </c>
      <c r="E68" s="10" t="s">
        <v>200</v>
      </c>
      <c r="F68" s="10" t="s">
        <v>560</v>
      </c>
      <c r="G68" s="11"/>
      <c r="H68" s="11"/>
      <c r="I68" s="10"/>
      <c r="J68" s="11"/>
      <c r="K68" s="12" t="n">
        <v>44540</v>
      </c>
      <c r="L68" s="12"/>
      <c r="M68" s="12"/>
      <c r="N68" s="12" t="n">
        <v>44545</v>
      </c>
      <c r="O68" s="12"/>
      <c r="P68" s="12"/>
      <c r="Q68" s="12" t="n">
        <v>44573</v>
      </c>
      <c r="R68" s="12"/>
      <c r="S68" s="12" t="n">
        <v>44573</v>
      </c>
      <c r="T68" s="12"/>
      <c r="U68" s="12"/>
      <c r="V68" s="12"/>
      <c r="W68" s="10"/>
      <c r="X68" s="10"/>
      <c r="Y68" s="10"/>
      <c r="Z68" s="11"/>
      <c r="AA68" s="10"/>
      <c r="AB68" s="9"/>
      <c r="AC68" s="9"/>
      <c r="AD68" s="10"/>
    </row>
    <row r="69" customFormat="false" ht="30" hidden="false" customHeight="true" outlineLevel="0" collapsed="false">
      <c r="A69" s="5" t="n">
        <v>65</v>
      </c>
      <c r="B69" s="6"/>
      <c r="C69" s="6"/>
      <c r="D69" s="6"/>
      <c r="E69" s="6"/>
      <c r="F69" s="6"/>
      <c r="G69" s="7"/>
      <c r="H69" s="7"/>
      <c r="I69" s="6"/>
      <c r="J69" s="7"/>
      <c r="K69" s="8"/>
      <c r="L69" s="8"/>
      <c r="M69" s="8"/>
      <c r="N69" s="8"/>
      <c r="O69" s="8"/>
      <c r="P69" s="8"/>
      <c r="Q69" s="8"/>
      <c r="R69" s="8"/>
      <c r="S69" s="8"/>
      <c r="T69" s="8"/>
      <c r="U69" s="8"/>
      <c r="V69" s="8"/>
      <c r="W69" s="6"/>
      <c r="X69" s="6"/>
      <c r="Y69" s="6"/>
      <c r="Z69" s="7"/>
      <c r="AA69" s="6"/>
      <c r="AB69" s="5"/>
      <c r="AC69" s="5"/>
      <c r="AD69" s="6"/>
    </row>
    <row r="70" customFormat="false" ht="30" hidden="false" customHeight="true" outlineLevel="0" collapsed="false">
      <c r="A70" s="9" t="n">
        <v>66</v>
      </c>
      <c r="B70" s="10"/>
      <c r="C70" s="10"/>
      <c r="D70" s="10"/>
      <c r="E70" s="10"/>
      <c r="F70" s="10"/>
      <c r="G70" s="11"/>
      <c r="H70" s="11"/>
      <c r="I70" s="10"/>
      <c r="J70" s="11"/>
      <c r="K70" s="12"/>
      <c r="L70" s="12"/>
      <c r="M70" s="12"/>
      <c r="N70" s="12"/>
      <c r="O70" s="12"/>
      <c r="P70" s="12"/>
      <c r="Q70" s="12"/>
      <c r="R70" s="12"/>
      <c r="S70" s="12"/>
      <c r="T70" s="12"/>
      <c r="U70" s="12"/>
      <c r="V70" s="12"/>
      <c r="W70" s="10"/>
      <c r="X70" s="10"/>
      <c r="Y70" s="10"/>
      <c r="Z70" s="11"/>
      <c r="AA70" s="10"/>
      <c r="AB70" s="9"/>
      <c r="AC70" s="9"/>
      <c r="AD70" s="10"/>
    </row>
    <row r="71" customFormat="false" ht="30" hidden="false" customHeight="true" outlineLevel="0" collapsed="false">
      <c r="A71" s="5" t="n">
        <v>67</v>
      </c>
      <c r="B71" s="6"/>
      <c r="C71" s="6"/>
      <c r="D71" s="6"/>
      <c r="E71" s="6"/>
      <c r="F71" s="6"/>
      <c r="G71" s="7"/>
      <c r="H71" s="7"/>
      <c r="I71" s="6"/>
      <c r="J71" s="7"/>
      <c r="K71" s="8"/>
      <c r="L71" s="8"/>
      <c r="M71" s="8"/>
      <c r="N71" s="8"/>
      <c r="O71" s="8"/>
      <c r="P71" s="8"/>
      <c r="Q71" s="8"/>
      <c r="R71" s="8"/>
      <c r="S71" s="8"/>
      <c r="T71" s="8"/>
      <c r="U71" s="8"/>
      <c r="V71" s="8"/>
      <c r="W71" s="6"/>
      <c r="X71" s="6"/>
      <c r="Y71" s="6"/>
      <c r="Z71" s="7"/>
      <c r="AA71" s="6"/>
      <c r="AB71" s="5"/>
      <c r="AC71" s="5"/>
      <c r="AD71" s="6"/>
    </row>
    <row r="72" customFormat="false" ht="30" hidden="false" customHeight="true" outlineLevel="0" collapsed="false">
      <c r="A72" s="9" t="n">
        <v>68</v>
      </c>
      <c r="B72" s="10"/>
      <c r="C72" s="10"/>
      <c r="D72" s="10"/>
      <c r="E72" s="10"/>
      <c r="F72" s="10"/>
      <c r="G72" s="11"/>
      <c r="H72" s="11"/>
      <c r="I72" s="10"/>
      <c r="J72" s="11"/>
      <c r="K72" s="12"/>
      <c r="L72" s="12"/>
      <c r="M72" s="12"/>
      <c r="N72" s="12"/>
      <c r="O72" s="12"/>
      <c r="P72" s="12"/>
      <c r="Q72" s="12"/>
      <c r="R72" s="12"/>
      <c r="S72" s="12"/>
      <c r="T72" s="12"/>
      <c r="U72" s="12"/>
      <c r="V72" s="12"/>
      <c r="W72" s="10"/>
      <c r="X72" s="10"/>
      <c r="Y72" s="10"/>
      <c r="Z72" s="11"/>
      <c r="AA72" s="10"/>
      <c r="AB72" s="9"/>
      <c r="AC72" s="9"/>
      <c r="AD72" s="10"/>
    </row>
    <row r="73" customFormat="false" ht="30" hidden="false" customHeight="true" outlineLevel="0" collapsed="false">
      <c r="A73" s="5" t="n">
        <v>69</v>
      </c>
      <c r="B73" s="6"/>
      <c r="C73" s="6"/>
      <c r="D73" s="6"/>
      <c r="E73" s="6"/>
      <c r="F73" s="6"/>
      <c r="G73" s="7"/>
      <c r="H73" s="7"/>
      <c r="I73" s="6"/>
      <c r="J73" s="7"/>
      <c r="K73" s="8"/>
      <c r="L73" s="8"/>
      <c r="M73" s="8"/>
      <c r="N73" s="8"/>
      <c r="O73" s="8"/>
      <c r="P73" s="8"/>
      <c r="Q73" s="8"/>
      <c r="R73" s="8"/>
      <c r="S73" s="8"/>
      <c r="T73" s="8"/>
      <c r="U73" s="8"/>
      <c r="V73" s="8"/>
      <c r="W73" s="6"/>
      <c r="X73" s="6"/>
      <c r="Y73" s="6"/>
      <c r="Z73" s="7"/>
      <c r="AA73" s="6"/>
      <c r="AB73" s="5"/>
      <c r="AC73" s="5"/>
      <c r="AD73" s="6"/>
    </row>
    <row r="74" customFormat="false" ht="30" hidden="false" customHeight="true" outlineLevel="0" collapsed="false">
      <c r="A74" s="9" t="n">
        <v>70</v>
      </c>
      <c r="B74" s="10"/>
      <c r="C74" s="10"/>
      <c r="D74" s="10"/>
      <c r="E74" s="10"/>
      <c r="F74" s="10"/>
      <c r="G74" s="11"/>
      <c r="H74" s="11"/>
      <c r="I74" s="10"/>
      <c r="J74" s="11"/>
      <c r="K74" s="12"/>
      <c r="L74" s="12"/>
      <c r="M74" s="12"/>
      <c r="N74" s="12"/>
      <c r="O74" s="12"/>
      <c r="P74" s="12"/>
      <c r="Q74" s="12"/>
      <c r="R74" s="12"/>
      <c r="S74" s="12"/>
      <c r="T74" s="12"/>
      <c r="U74" s="12"/>
      <c r="V74" s="12"/>
      <c r="W74" s="10"/>
      <c r="X74" s="10"/>
      <c r="Y74" s="10"/>
      <c r="Z74" s="11"/>
      <c r="AA74" s="10"/>
      <c r="AB74" s="9"/>
      <c r="AC74" s="9"/>
      <c r="AD74" s="10"/>
    </row>
    <row r="75" customFormat="false" ht="30" hidden="false" customHeight="true" outlineLevel="0" collapsed="false">
      <c r="A75" s="5" t="n">
        <v>71</v>
      </c>
      <c r="B75" s="6"/>
      <c r="C75" s="6"/>
      <c r="D75" s="6"/>
      <c r="E75" s="6"/>
      <c r="F75" s="6"/>
      <c r="G75" s="7"/>
      <c r="H75" s="7"/>
      <c r="I75" s="6"/>
      <c r="J75" s="7"/>
      <c r="K75" s="8"/>
      <c r="L75" s="8"/>
      <c r="M75" s="8"/>
      <c r="N75" s="8"/>
      <c r="O75" s="8"/>
      <c r="P75" s="8"/>
      <c r="Q75" s="8"/>
      <c r="R75" s="8"/>
      <c r="S75" s="8"/>
      <c r="T75" s="8"/>
      <c r="U75" s="8"/>
      <c r="V75" s="8"/>
      <c r="W75" s="6"/>
      <c r="X75" s="6"/>
      <c r="Y75" s="6"/>
      <c r="Z75" s="7"/>
      <c r="AA75" s="6"/>
      <c r="AB75" s="5"/>
      <c r="AC75" s="5"/>
      <c r="AD75" s="6"/>
    </row>
    <row r="77" customFormat="false" ht="15" hidden="false" customHeight="false" outlineLevel="0" collapsed="false">
      <c r="C77" s="13" t="s">
        <v>161</v>
      </c>
    </row>
    <row r="78" customFormat="false" ht="15" hidden="false" customHeight="false" outlineLevel="0" collapsed="false">
      <c r="A78" s="14"/>
      <c r="C78" s="15" t="s">
        <v>162</v>
      </c>
    </row>
    <row r="79" customFormat="false" ht="15" hidden="false" customHeight="false" outlineLevel="0" collapsed="false">
      <c r="A79" s="16"/>
      <c r="C79" s="15" t="s">
        <v>163</v>
      </c>
    </row>
    <row r="80" customFormat="false" ht="15" hidden="false" customHeight="false" outlineLevel="0" collapsed="false">
      <c r="A80" s="17"/>
      <c r="C80" s="15" t="s">
        <v>164</v>
      </c>
    </row>
    <row r="82" customFormat="false" ht="15" hidden="false" customHeight="false" outlineLevel="0" collapsed="false">
      <c r="C82" s="2" t="s">
        <v>165</v>
      </c>
    </row>
  </sheetData>
  <autoFilter ref="A4:AD75"/>
  <mergeCells count="2">
    <mergeCell ref="K3:V3"/>
    <mergeCell ref="AA3:AC3"/>
  </mergeCells>
  <conditionalFormatting sqref="K5:V75">
    <cfRule type="expression" priority="2" aboveAverage="0" equalAverage="0" bottom="0" percent="0" rank="0" text="" dxfId="5">
      <formula>AND(K5&lt;&gt;"",$W5="",K5&gt;TODAY(),K5&lt;=TODAY()+7)</formula>
    </cfRule>
    <cfRule type="expression" priority="3" aboveAverage="0" equalAverage="0" bottom="0" percent="0" rank="0" text="" dxfId="6">
      <formula>AND(K5&lt;&gt;"",$W5="",K5&gt;TODAY()+7,K5&lt;=TODAY()+14)</formula>
    </cfRule>
    <cfRule type="expression" priority="4" aboveAverage="0" equalAverage="0" bottom="0" percent="0" rank="0" text="" dxfId="7">
      <formula>AND(K5&lt;&gt;"",K5&lt;=TODAY())</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7" min="2" style="0" width="13"/>
  </cols>
  <sheetData>
    <row r="1" customFormat="false" ht="17.35" hidden="false" customHeight="false" outlineLevel="0" collapsed="false">
      <c r="A1" s="1" t="s">
        <v>719</v>
      </c>
    </row>
    <row r="2" customFormat="false" ht="15" hidden="false" customHeight="false" outlineLevel="0" collapsed="false">
      <c r="A2" s="2" t="s">
        <v>720</v>
      </c>
    </row>
    <row r="4" customFormat="false" ht="15" hidden="false" customHeight="false" outlineLevel="0" collapsed="false">
      <c r="A4" s="20" t="s">
        <v>721</v>
      </c>
      <c r="B4" s="20" t="s">
        <v>722</v>
      </c>
      <c r="C4" s="20" t="s">
        <v>723</v>
      </c>
      <c r="D4" s="20" t="s">
        <v>724</v>
      </c>
      <c r="E4" s="20" t="s">
        <v>725</v>
      </c>
      <c r="F4" s="20" t="s">
        <v>726</v>
      </c>
      <c r="G4" s="20" t="s">
        <v>727</v>
      </c>
    </row>
    <row r="5" customFormat="false" ht="15" hidden="false" customHeight="false" outlineLevel="0" collapsed="false">
      <c r="A5" s="21" t="s">
        <v>171</v>
      </c>
      <c r="B5" s="22" t="n">
        <f aca="false">COUNTIF('2025-2026'!$W$5:$W$400,"WIN")</f>
        <v>0</v>
      </c>
      <c r="C5" s="22" t="n">
        <f aca="false">COUNTIF('2024-2025'!$W$5:$W$400,"WIN")</f>
        <v>9</v>
      </c>
      <c r="D5" s="22" t="n">
        <f aca="false">COUNTIF('2023-2024'!$W$5:$W$400,"WIN")</f>
        <v>8</v>
      </c>
      <c r="E5" s="22" t="n">
        <f aca="false">COUNTIF('2022-2021'!$W$5:$W$400,"WIN")</f>
        <v>1</v>
      </c>
      <c r="F5" s="22" t="n">
        <f aca="false">COUNTIF(ALL!$W$5:$W$400,"WIN")</f>
        <v>6</v>
      </c>
      <c r="G5" s="23" t="n">
        <f aca="false">SUM(B5:F5)</f>
        <v>24</v>
      </c>
    </row>
    <row r="6" customFormat="false" ht="15" hidden="false" customHeight="false" outlineLevel="0" collapsed="false">
      <c r="A6" s="24" t="s">
        <v>57</v>
      </c>
      <c r="B6" s="22" t="n">
        <f aca="false">COUNTIF('2025-2026'!$W$5:$W$400,"LOSS PRICE")</f>
        <v>6</v>
      </c>
      <c r="C6" s="22" t="n">
        <f aca="false">COUNTIF('2024-2025'!$W$5:$W$400,"LOSS PRICE")</f>
        <v>10</v>
      </c>
      <c r="D6" s="22" t="n">
        <f aca="false">COUNTIF('2023-2024'!$W$5:$W$400,"LOSS PRICE")</f>
        <v>9</v>
      </c>
      <c r="E6" s="22" t="n">
        <f aca="false">COUNTIF('2022-2021'!$W$5:$W$400,"LOSS PRICE")</f>
        <v>5</v>
      </c>
      <c r="F6" s="22" t="n">
        <f aca="false">COUNTIF(ALL!$W$5:$W$400,"LOSS PRICE")</f>
        <v>5</v>
      </c>
      <c r="G6" s="23" t="n">
        <f aca="false">SUM(B6:F6)</f>
        <v>35</v>
      </c>
    </row>
    <row r="7" customFormat="false" ht="15" hidden="false" customHeight="false" outlineLevel="0" collapsed="false">
      <c r="A7" s="24" t="s">
        <v>90</v>
      </c>
      <c r="B7" s="22" t="n">
        <f aca="false">COUNTIF('2025-2026'!$W$5:$W$400,"LOSS TECHNICAL")</f>
        <v>2</v>
      </c>
      <c r="C7" s="22" t="n">
        <f aca="false">COUNTIF('2024-2025'!$W$5:$W$400,"LOSS TECHNICAL")</f>
        <v>10</v>
      </c>
      <c r="D7" s="22" t="n">
        <f aca="false">COUNTIF('2023-2024'!$W$5:$W$400,"LOSS TECHNICAL")</f>
        <v>9</v>
      </c>
      <c r="E7" s="22" t="n">
        <f aca="false">COUNTIF('2022-2021'!$W$5:$W$400,"LOSS TECHNICAL")</f>
        <v>5</v>
      </c>
      <c r="F7" s="22" t="n">
        <f aca="false">COUNTIF(ALL!$W$5:$W$400,"LOSS TECHNICAL")</f>
        <v>7</v>
      </c>
      <c r="G7" s="23" t="n">
        <f aca="false">SUM(B7:F7)</f>
        <v>33</v>
      </c>
    </row>
    <row r="8" customFormat="false" ht="15" hidden="false" customHeight="false" outlineLevel="0" collapsed="false">
      <c r="A8" s="24" t="s">
        <v>66</v>
      </c>
      <c r="B8" s="22" t="n">
        <f aca="false">COUNTIF('2025-2026'!$W$5:$W$400,"LOSS TECHNICAL (BOTTLE TEST)")</f>
        <v>5</v>
      </c>
      <c r="C8" s="22" t="n">
        <f aca="false">COUNTIF('2024-2025'!$W$5:$W$400,"LOSS TECHNICAL (BOTTLE TEST)")</f>
        <v>1</v>
      </c>
      <c r="D8" s="22" t="n">
        <f aca="false">COUNTIF('2023-2024'!$W$5:$W$400,"LOSS TECHNICAL (BOTTLE TEST)")</f>
        <v>0</v>
      </c>
      <c r="E8" s="22" t="n">
        <f aca="false">COUNTIF('2022-2021'!$W$5:$W$400,"LOSS TECHNICAL (BOTTLE TEST)")</f>
        <v>0</v>
      </c>
      <c r="F8" s="22" t="n">
        <f aca="false">COUNTIF(ALL!$W$5:$W$400,"LOSS TECHNICAL (BOTTLE TEST)")</f>
        <v>0</v>
      </c>
      <c r="G8" s="23" t="n">
        <f aca="false">SUM(B8:F8)</f>
        <v>6</v>
      </c>
    </row>
    <row r="9" customFormat="false" ht="15" hidden="false" customHeight="false" outlineLevel="0" collapsed="false">
      <c r="A9" s="24" t="s">
        <v>230</v>
      </c>
      <c r="B9" s="22" t="n">
        <f aca="false">COUNTIF('2025-2026'!$W$5:$W$400,"LOSS TECHNICAL (FIELD TRIAL)")</f>
        <v>0</v>
      </c>
      <c r="C9" s="22" t="n">
        <f aca="false">COUNTIF('2024-2025'!$W$5:$W$400,"LOSS TECHNICAL (FIELD TRIAL)")</f>
        <v>2</v>
      </c>
      <c r="D9" s="22" t="n">
        <f aca="false">COUNTIF('2023-2024'!$W$5:$W$400,"LOSS TECHNICAL (FIELD TRIAL)")</f>
        <v>1</v>
      </c>
      <c r="E9" s="22" t="n">
        <f aca="false">COUNTIF('2022-2021'!$W$5:$W$400,"LOSS TECHNICAL (FIELD TRIAL)")</f>
        <v>0</v>
      </c>
      <c r="F9" s="22" t="n">
        <f aca="false">COUNTIF(ALL!$W$5:$W$400,"LOSS TECHNICAL (FIELD TRIAL)")</f>
        <v>0</v>
      </c>
      <c r="G9" s="23" t="n">
        <f aca="false">SUM(B9:F9)</f>
        <v>3</v>
      </c>
    </row>
    <row r="10" customFormat="false" ht="15" hidden="false" customHeight="false" outlineLevel="0" collapsed="false">
      <c r="A10" s="24" t="s">
        <v>243</v>
      </c>
      <c r="B10" s="22" t="n">
        <f aca="false">COUNTIF('2025-2026'!$W$5:$W$400,"LOSS PQ ADMIN")</f>
        <v>0</v>
      </c>
      <c r="C10" s="22" t="n">
        <f aca="false">COUNTIF('2024-2025'!$W$5:$W$400,"LOSS PQ ADMIN")</f>
        <v>6</v>
      </c>
      <c r="D10" s="22" t="n">
        <f aca="false">COUNTIF('2023-2024'!$W$5:$W$400,"LOSS PQ ADMIN")</f>
        <v>9</v>
      </c>
      <c r="E10" s="22" t="n">
        <f aca="false">COUNTIF('2022-2021'!$W$5:$W$400,"LOSS PQ ADMIN")</f>
        <v>1</v>
      </c>
      <c r="F10" s="22" t="n">
        <f aca="false">COUNTIF(ALL!$W$5:$W$400,"LOSS PQ ADMIN")</f>
        <v>5</v>
      </c>
      <c r="G10" s="23" t="n">
        <f aca="false">SUM(B10:F10)</f>
        <v>21</v>
      </c>
    </row>
    <row r="11" customFormat="false" ht="15" hidden="false" customHeight="false" outlineLevel="0" collapsed="false">
      <c r="A11" s="24" t="s">
        <v>147</v>
      </c>
      <c r="B11" s="22" t="n">
        <f aca="false">COUNTIF('2025-2026'!$W$5:$W$400,"LOSS REGIST")</f>
        <v>1</v>
      </c>
      <c r="C11" s="22" t="n">
        <f aca="false">COUNTIF('2024-2025'!$W$5:$W$400,"LOSS REGIST")</f>
        <v>6</v>
      </c>
      <c r="D11" s="22" t="n">
        <f aca="false">COUNTIF('2023-2024'!$W$5:$W$400,"LOSS REGIST")</f>
        <v>0</v>
      </c>
      <c r="E11" s="22" t="n">
        <f aca="false">COUNTIF('2022-2021'!$W$5:$W$400,"LOSS REGIST")</f>
        <v>0</v>
      </c>
      <c r="F11" s="22" t="n">
        <f aca="false">COUNTIF(ALL!$W$5:$W$400,"LOSS REGIST")</f>
        <v>0</v>
      </c>
      <c r="G11" s="23" t="n">
        <f aca="false">SUM(B11:F11)</f>
        <v>7</v>
      </c>
    </row>
    <row r="12" customFormat="false" ht="15" hidden="false" customHeight="false" outlineLevel="0" collapsed="false">
      <c r="A12" s="24" t="s">
        <v>601</v>
      </c>
      <c r="B12" s="22" t="n">
        <f aca="false">COUNTIF('2025-2026'!$W$5:$W$400,"LOSS (PERLU DICEK)")</f>
        <v>0</v>
      </c>
      <c r="C12" s="22" t="n">
        <f aca="false">COUNTIF('2024-2025'!$W$5:$W$400,"LOSS (PERLU DICEK)")</f>
        <v>0</v>
      </c>
      <c r="D12" s="22" t="n">
        <f aca="false">COUNTIF('2023-2024'!$W$5:$W$400,"LOSS (PERLU DICEK)")</f>
        <v>0</v>
      </c>
      <c r="E12" s="22" t="n">
        <f aca="false">COUNTIF('2022-2021'!$W$5:$W$400,"LOSS (PERLU DICEK)")</f>
        <v>0</v>
      </c>
      <c r="F12" s="22" t="n">
        <f aca="false">COUNTIF(ALL!$W$5:$W$400,"LOSS (PERLU DICEK)")</f>
        <v>1</v>
      </c>
      <c r="G12" s="23" t="n">
        <f aca="false">SUM(B12:F12)</f>
        <v>1</v>
      </c>
    </row>
    <row r="13" customFormat="false" ht="15" hidden="false" customHeight="false" outlineLevel="0" collapsed="false">
      <c r="A13" s="24" t="s">
        <v>52</v>
      </c>
      <c r="B13" s="22" t="n">
        <f aca="false">COUNTIF('2025-2026'!$W$5:$W$400,"WITHDRAW")</f>
        <v>6</v>
      </c>
      <c r="C13" s="22" t="n">
        <f aca="false">COUNTIF('2024-2025'!$W$5:$W$400,"WITHDRAW")</f>
        <v>9</v>
      </c>
      <c r="D13" s="22" t="n">
        <f aca="false">COUNTIF('2023-2024'!$W$5:$W$400,"WITHDRAW")</f>
        <v>8</v>
      </c>
      <c r="E13" s="22" t="n">
        <f aca="false">COUNTIF('2022-2021'!$W$5:$W$400,"WITHDRAW")</f>
        <v>9</v>
      </c>
      <c r="F13" s="22" t="n">
        <f aca="false">COUNTIF(ALL!$W$5:$W$400,"WITHDRAW")</f>
        <v>6</v>
      </c>
      <c r="G13" s="23" t="n">
        <f aca="false">SUM(B13:F13)</f>
        <v>38</v>
      </c>
    </row>
    <row r="14" customFormat="false" ht="15" hidden="false" customHeight="false" outlineLevel="0" collapsed="false">
      <c r="A14" s="24" t="s">
        <v>99</v>
      </c>
      <c r="B14" s="22" t="n">
        <f aca="false">COUNTIF('2025-2026'!$W$5:$W$400,"CANCELED")</f>
        <v>2</v>
      </c>
      <c r="C14" s="22" t="n">
        <f aca="false">COUNTIF('2024-2025'!$W$5:$W$400,"CANCELED")</f>
        <v>6</v>
      </c>
      <c r="D14" s="22" t="n">
        <f aca="false">COUNTIF('2023-2024'!$W$5:$W$400,"CANCELED")</f>
        <v>1</v>
      </c>
      <c r="E14" s="22" t="n">
        <f aca="false">COUNTIF('2022-2021'!$W$5:$W$400,"CANCELED")</f>
        <v>1</v>
      </c>
      <c r="F14" s="22" t="n">
        <f aca="false">COUNTIF(ALL!$W$5:$W$400,"CANCELED")</f>
        <v>10</v>
      </c>
      <c r="G14" s="23" t="n">
        <f aca="false">SUM(B14:F14)</f>
        <v>20</v>
      </c>
    </row>
    <row r="15" customFormat="false" ht="15" hidden="false" customHeight="false" outlineLevel="0" collapsed="false">
      <c r="A15" s="24" t="s">
        <v>651</v>
      </c>
      <c r="B15" s="22" t="n">
        <f aca="false">COUNTIF('2025-2026'!$W$5:$W$400,"RETENDER")</f>
        <v>0</v>
      </c>
      <c r="C15" s="22" t="n">
        <f aca="false">COUNTIF('2024-2025'!$W$5:$W$400,"RETENDER")</f>
        <v>0</v>
      </c>
      <c r="D15" s="22" t="n">
        <f aca="false">COUNTIF('2023-2024'!$W$5:$W$400,"RETENDER")</f>
        <v>0</v>
      </c>
      <c r="E15" s="22" t="n">
        <f aca="false">COUNTIF('2022-2021'!$W$5:$W$400,"RETENDER")</f>
        <v>0</v>
      </c>
      <c r="F15" s="22" t="n">
        <f aca="false">COUNTIF(ALL!$W$5:$W$400,"RETENDER")</f>
        <v>3</v>
      </c>
      <c r="G15" s="23" t="n">
        <f aca="false">SUM(B15:F15)</f>
        <v>3</v>
      </c>
    </row>
    <row r="16" customFormat="false" ht="15" hidden="false" customHeight="false" outlineLevel="0" collapsed="false">
      <c r="A16" s="24" t="s">
        <v>254</v>
      </c>
      <c r="B16" s="22" t="n">
        <f aca="false">COUNTIF('2025-2026'!$W$5:$W$400,"NO INFO")</f>
        <v>0</v>
      </c>
      <c r="C16" s="22" t="n">
        <f aca="false">COUNTIF('2024-2025'!$W$5:$W$400,"NO INFO")</f>
        <v>1</v>
      </c>
      <c r="D16" s="22" t="n">
        <f aca="false">COUNTIF('2023-2024'!$W$5:$W$400,"NO INFO")</f>
        <v>0</v>
      </c>
      <c r="E16" s="22" t="n">
        <f aca="false">COUNTIF('2022-2021'!$W$5:$W$400,"NO INFO")</f>
        <v>0</v>
      </c>
      <c r="F16" s="22" t="n">
        <f aca="false">COUNTIF(ALL!$W$5:$W$400,"NO INFO")</f>
        <v>0</v>
      </c>
      <c r="G16" s="23" t="n">
        <f aca="false">SUM(B16:F16)</f>
        <v>1</v>
      </c>
    </row>
    <row r="17" customFormat="false" ht="15" hidden="false" customHeight="false" outlineLevel="0" collapsed="false">
      <c r="A17" s="24" t="s">
        <v>728</v>
      </c>
      <c r="B17" s="22" t="n">
        <f aca="false">SUMPRODUCT(--ISNUMBER('2025-2026'!$A$5:$A$400),--('2025-2026'!$W$5:$W$400=""))</f>
        <v>15</v>
      </c>
      <c r="C17" s="22" t="n">
        <f aca="false">SUMPRODUCT(--ISNUMBER('2024-2025'!$A$5:$A$400),--('2024-2025'!$W$5:$W$400=""))</f>
        <v>24</v>
      </c>
      <c r="D17" s="22" t="n">
        <f aca="false">SUMPRODUCT(--ISNUMBER('2023-2024'!$A$5:$A$400),--('2023-2024'!$W$5:$W$400=""))</f>
        <v>11</v>
      </c>
      <c r="E17" s="22" t="n">
        <f aca="false">SUMPRODUCT(--ISNUMBER('2022-2021'!$A$5:$A$400),--('2022-2021'!$W$5:$W$400=""))</f>
        <v>7</v>
      </c>
      <c r="F17" s="22" t="n">
        <f aca="false">SUMPRODUCT(--ISNUMBER(ALL!$A$5:$A$400),--(ALL!$W$5:$W$400=""))</f>
        <v>28</v>
      </c>
      <c r="G17" s="23" t="n">
        <f aca="false">SUM(B17:F17)</f>
        <v>85</v>
      </c>
    </row>
    <row r="18" customFormat="false" ht="15" hidden="false" customHeight="false" outlineLevel="0" collapsed="false">
      <c r="A18" s="13" t="s">
        <v>729</v>
      </c>
      <c r="B18" s="25" t="n">
        <f aca="false">COUNT('2025-2026'!$A$5:$A$400)</f>
        <v>37</v>
      </c>
      <c r="C18" s="25" t="n">
        <f aca="false">COUNT('2024-2025'!$A$5:$A$400)</f>
        <v>84</v>
      </c>
      <c r="D18" s="25" t="n">
        <f aca="false">COUNT('2023-2024'!$A$5:$A$400)</f>
        <v>56</v>
      </c>
      <c r="E18" s="25" t="n">
        <f aca="false">COUNT('2022-2021'!$A$5:$A$400)</f>
        <v>29</v>
      </c>
      <c r="F18" s="25" t="n">
        <f aca="false">COUNT(ALL!$A$5:$A$400)</f>
        <v>71</v>
      </c>
      <c r="G18" s="25" t="n">
        <f aca="false">SUM(B18:F18)</f>
        <v>277</v>
      </c>
    </row>
    <row r="20" customFormat="false" ht="15" hidden="false" customHeight="false" outlineLevel="0" collapsed="false">
      <c r="A20" s="24" t="s">
        <v>730</v>
      </c>
      <c r="B20" s="22" t="n">
        <f aca="false">SUM(B13,B14,B15,B16)</f>
        <v>8</v>
      </c>
      <c r="C20" s="22" t="n">
        <f aca="false">SUM(C13,C14,C15,C16)</f>
        <v>16</v>
      </c>
      <c r="D20" s="22" t="n">
        <f aca="false">SUM(D13,D14,D15,D16)</f>
        <v>9</v>
      </c>
      <c r="E20" s="22" t="n">
        <f aca="false">SUM(E13,E14,E15,E16)</f>
        <v>10</v>
      </c>
      <c r="F20" s="22" t="n">
        <f aca="false">SUM(F13,F14,F15,F16)</f>
        <v>19</v>
      </c>
      <c r="G20" s="22" t="n">
        <f aca="false">SUM(G13,G14,G15,G16)</f>
        <v>62</v>
      </c>
    </row>
    <row r="21" customFormat="false" ht="15" hidden="false" customHeight="false" outlineLevel="0" collapsed="false">
      <c r="A21" s="24" t="s">
        <v>731</v>
      </c>
      <c r="B21" s="22" t="n">
        <f aca="false">B18-B20-B17</f>
        <v>14</v>
      </c>
      <c r="C21" s="22" t="n">
        <f aca="false">C18-C20-C17</f>
        <v>44</v>
      </c>
      <c r="D21" s="22" t="n">
        <f aca="false">D18-D20-D17</f>
        <v>36</v>
      </c>
      <c r="E21" s="22" t="n">
        <f aca="false">E18-E20-E17</f>
        <v>12</v>
      </c>
      <c r="F21" s="22" t="n">
        <f aca="false">F18-F20-F17</f>
        <v>24</v>
      </c>
      <c r="G21" s="22" t="n">
        <f aca="false">G18-G20-G17</f>
        <v>130</v>
      </c>
    </row>
    <row r="22" customFormat="false" ht="15" hidden="false" customHeight="false" outlineLevel="0" collapsed="false">
      <c r="A22" s="24" t="s">
        <v>171</v>
      </c>
      <c r="B22" s="22" t="n">
        <f aca="false">B5</f>
        <v>0</v>
      </c>
      <c r="C22" s="22" t="n">
        <f aca="false">C5</f>
        <v>9</v>
      </c>
      <c r="D22" s="22" t="n">
        <f aca="false">D5</f>
        <v>8</v>
      </c>
      <c r="E22" s="22" t="n">
        <f aca="false">E5</f>
        <v>1</v>
      </c>
      <c r="F22" s="22" t="n">
        <f aca="false">F5</f>
        <v>6</v>
      </c>
      <c r="G22" s="22" t="n">
        <f aca="false">G5</f>
        <v>24</v>
      </c>
    </row>
    <row r="23" customFormat="false" ht="15" hidden="false" customHeight="false" outlineLevel="0" collapsed="false">
      <c r="A23" s="21" t="s">
        <v>732</v>
      </c>
      <c r="B23" s="26" t="n">
        <f aca="false">IF(B21=0,"",B22/B21)</f>
        <v>0</v>
      </c>
      <c r="C23" s="26" t="n">
        <f aca="false">IF(C21=0,"",C22/C21)</f>
        <v>0.204545454545455</v>
      </c>
      <c r="D23" s="26" t="n">
        <f aca="false">IF(D21=0,"",D22/D21)</f>
        <v>0.222222222222222</v>
      </c>
      <c r="E23" s="26" t="n">
        <f aca="false">IF(E21=0,"",E22/E21)</f>
        <v>0.0833333333333333</v>
      </c>
      <c r="F23" s="26" t="n">
        <f aca="false">IF(F21=0,"",F22/F21)</f>
        <v>0.25</v>
      </c>
      <c r="G23" s="26" t="n">
        <f aca="false">IF(G21=0,"",G22/G21)</f>
        <v>0.184615384615385</v>
      </c>
    </row>
    <row r="25" customFormat="false" ht="15" hidden="false" customHeight="false" outlineLevel="0" collapsed="false">
      <c r="A25" s="27" t="s">
        <v>733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
    <col collapsed="false" customWidth="true" hidden="false" outlineLevel="0" max="3" min="3" style="0" width="34"/>
    <col collapsed="false" customWidth="true" hidden="false" outlineLevel="0" max="4" min="4" style="0" width="60"/>
    <col collapsed="false" customWidth="true" hidden="false" outlineLevel="0" max="6" min="5" style="0" width="30"/>
  </cols>
  <sheetData>
    <row r="1" customFormat="false" ht="17.35" hidden="false" customHeight="false" outlineLevel="0" collapsed="false">
      <c r="A1" s="1" t="s">
        <v>734</v>
      </c>
    </row>
    <row r="3" customFormat="false" ht="15" hidden="false" customHeight="false" outlineLevel="0" collapsed="false">
      <c r="A3" s="28" t="s">
        <v>735</v>
      </c>
    </row>
    <row r="4" customFormat="false" ht="25.5" hidden="false" customHeight="true" outlineLevel="0" collapsed="false">
      <c r="A4" s="29" t="s">
        <v>736</v>
      </c>
    </row>
    <row r="5" customFormat="false" ht="25.5" hidden="false" customHeight="true" outlineLevel="0" collapsed="false">
      <c r="A5" s="29" t="s">
        <v>737</v>
      </c>
    </row>
    <row r="6" customFormat="false" ht="25.5" hidden="false" customHeight="true" outlineLevel="0" collapsed="false">
      <c r="A6" s="29" t="s">
        <v>738</v>
      </c>
    </row>
    <row r="7" customFormat="false" ht="25.5" hidden="false" customHeight="true" outlineLevel="0" collapsed="false">
      <c r="A7" s="29" t="s">
        <v>739</v>
      </c>
    </row>
    <row r="8" customFormat="false" ht="25.5" hidden="false" customHeight="true" outlineLevel="0" collapsed="false">
      <c r="A8" s="29" t="s">
        <v>740</v>
      </c>
    </row>
    <row r="9" customFormat="false" ht="25.5" hidden="false" customHeight="true" outlineLevel="0" collapsed="false">
      <c r="A9" s="29" t="s">
        <v>741</v>
      </c>
    </row>
    <row r="10" customFormat="false" ht="25.5" hidden="false" customHeight="true" outlineLevel="0" collapsed="false">
      <c r="A10" s="29" t="s">
        <v>742</v>
      </c>
    </row>
    <row r="11" customFormat="false" ht="25.5" hidden="false" customHeight="true" outlineLevel="0" collapsed="false">
      <c r="A11" s="29" t="s">
        <v>743</v>
      </c>
    </row>
    <row r="12" customFormat="false" ht="25.5" hidden="false" customHeight="true" outlineLevel="0" collapsed="false">
      <c r="A12" s="29" t="s">
        <v>744</v>
      </c>
    </row>
    <row r="13" customFormat="false" ht="25.5" hidden="false" customHeight="true" outlineLevel="0" collapsed="false">
      <c r="A13" s="29" t="s">
        <v>745</v>
      </c>
    </row>
    <row r="14" customFormat="false" ht="25.5" hidden="false" customHeight="true" outlineLevel="0" collapsed="false">
      <c r="A14" s="29" t="s">
        <v>746</v>
      </c>
    </row>
    <row r="15" customFormat="false" ht="25.5" hidden="false" customHeight="true" outlineLevel="0" collapsed="false">
      <c r="A15" s="29" t="s">
        <v>747</v>
      </c>
    </row>
    <row r="16" customFormat="false" ht="25.5" hidden="false" customHeight="true" outlineLevel="0" collapsed="false">
      <c r="A16" s="29" t="s">
        <v>748</v>
      </c>
    </row>
    <row r="18" customFormat="false" ht="15" hidden="false" customHeight="false" outlineLevel="0" collapsed="false">
      <c r="A18" s="28" t="s">
        <v>749</v>
      </c>
    </row>
    <row r="19" customFormat="false" ht="15" hidden="false" customHeight="false" outlineLevel="0" collapsed="false">
      <c r="A19" s="30" t="s">
        <v>750</v>
      </c>
      <c r="B19" s="30" t="s">
        <v>751</v>
      </c>
      <c r="C19" s="30" t="s">
        <v>7</v>
      </c>
      <c r="D19" s="30" t="s">
        <v>8</v>
      </c>
      <c r="E19" s="30" t="s">
        <v>752</v>
      </c>
      <c r="F19" s="30" t="s">
        <v>753</v>
      </c>
    </row>
    <row r="20" customFormat="false" ht="15" hidden="false" customHeight="false" outlineLevel="0" collapsed="false">
      <c r="A20" s="6" t="s">
        <v>723</v>
      </c>
      <c r="B20" s="6" t="n">
        <v>26</v>
      </c>
      <c r="C20" s="6" t="s">
        <v>55</v>
      </c>
      <c r="D20" s="6" t="s">
        <v>754</v>
      </c>
      <c r="E20" s="6" t="s">
        <v>755</v>
      </c>
      <c r="F20" s="6" t="s">
        <v>254</v>
      </c>
    </row>
    <row r="21" customFormat="false" ht="15" hidden="false" customHeight="false" outlineLevel="0" collapsed="false">
      <c r="A21" s="6" t="s">
        <v>724</v>
      </c>
      <c r="B21" s="6" t="n">
        <v>9</v>
      </c>
      <c r="C21" s="6" t="s">
        <v>394</v>
      </c>
      <c r="D21" s="6" t="s">
        <v>395</v>
      </c>
      <c r="E21" s="6" t="s">
        <v>756</v>
      </c>
      <c r="F21" s="6" t="s">
        <v>57</v>
      </c>
    </row>
    <row r="22" customFormat="false" ht="15" hidden="false" customHeight="false" outlineLevel="0" collapsed="false">
      <c r="A22" s="6" t="s">
        <v>724</v>
      </c>
      <c r="B22" s="6" t="n">
        <v>10</v>
      </c>
      <c r="C22" s="6" t="s">
        <v>391</v>
      </c>
      <c r="D22" s="6" t="s">
        <v>200</v>
      </c>
      <c r="E22" s="6" t="s">
        <v>756</v>
      </c>
      <c r="F22" s="6" t="s">
        <v>57</v>
      </c>
    </row>
    <row r="23" customFormat="false" ht="15" hidden="false" customHeight="false" outlineLevel="0" collapsed="false">
      <c r="A23" s="6" t="s">
        <v>724</v>
      </c>
      <c r="B23" s="6" t="n">
        <v>15</v>
      </c>
      <c r="C23" s="6" t="s">
        <v>413</v>
      </c>
      <c r="D23" s="6" t="s">
        <v>414</v>
      </c>
      <c r="E23" s="6" t="s">
        <v>757</v>
      </c>
      <c r="F23" s="6" t="s">
        <v>243</v>
      </c>
    </row>
    <row r="24" customFormat="false" ht="15" hidden="false" customHeight="false" outlineLevel="0" collapsed="false">
      <c r="A24" s="6" t="s">
        <v>724</v>
      </c>
      <c r="B24" s="6" t="n">
        <v>16</v>
      </c>
      <c r="C24" s="6" t="s">
        <v>403</v>
      </c>
      <c r="D24" s="6" t="s">
        <v>404</v>
      </c>
      <c r="E24" s="6" t="s">
        <v>757</v>
      </c>
      <c r="F24" s="6" t="s">
        <v>243</v>
      </c>
    </row>
    <row r="25" customFormat="false" ht="15" hidden="false" customHeight="false" outlineLevel="0" collapsed="false">
      <c r="A25" s="6" t="s">
        <v>724</v>
      </c>
      <c r="B25" s="6" t="n">
        <v>17</v>
      </c>
      <c r="C25" s="6" t="s">
        <v>394</v>
      </c>
      <c r="D25" s="6" t="s">
        <v>419</v>
      </c>
      <c r="E25" s="6" t="s">
        <v>757</v>
      </c>
      <c r="F25" s="6" t="s">
        <v>243</v>
      </c>
    </row>
    <row r="26" customFormat="false" ht="15" hidden="false" customHeight="false" outlineLevel="0" collapsed="false">
      <c r="A26" s="6" t="s">
        <v>724</v>
      </c>
      <c r="B26" s="6" t="n">
        <v>18</v>
      </c>
      <c r="C26" s="6" t="s">
        <v>422</v>
      </c>
      <c r="D26" s="6" t="s">
        <v>423</v>
      </c>
      <c r="E26" s="6" t="s">
        <v>757</v>
      </c>
      <c r="F26" s="6" t="s">
        <v>243</v>
      </c>
    </row>
    <row r="27" customFormat="false" ht="15" hidden="false" customHeight="false" outlineLevel="0" collapsed="false">
      <c r="A27" s="6" t="s">
        <v>724</v>
      </c>
      <c r="B27" s="6" t="n">
        <v>19</v>
      </c>
      <c r="C27" s="6" t="s">
        <v>425</v>
      </c>
      <c r="D27" s="6" t="s">
        <v>121</v>
      </c>
      <c r="E27" s="6" t="s">
        <v>757</v>
      </c>
      <c r="F27" s="6" t="s">
        <v>243</v>
      </c>
    </row>
    <row r="28" customFormat="false" ht="15" hidden="false" customHeight="false" outlineLevel="0" collapsed="false">
      <c r="A28" s="6" t="s">
        <v>724</v>
      </c>
      <c r="B28" s="6" t="n">
        <v>20</v>
      </c>
      <c r="C28" s="6" t="s">
        <v>427</v>
      </c>
      <c r="D28" s="6" t="s">
        <v>428</v>
      </c>
      <c r="E28" s="6" t="s">
        <v>757</v>
      </c>
      <c r="F28" s="6" t="s">
        <v>243</v>
      </c>
    </row>
    <row r="29" customFormat="false" ht="15" hidden="false" customHeight="false" outlineLevel="0" collapsed="false">
      <c r="A29" s="6" t="s">
        <v>724</v>
      </c>
      <c r="B29" s="6" t="n">
        <v>21</v>
      </c>
      <c r="C29" s="6" t="s">
        <v>431</v>
      </c>
      <c r="D29" s="6" t="s">
        <v>432</v>
      </c>
      <c r="E29" s="6" t="s">
        <v>757</v>
      </c>
      <c r="F29" s="6" t="s">
        <v>243</v>
      </c>
    </row>
    <row r="30" customFormat="false" ht="15" hidden="false" customHeight="false" outlineLevel="0" collapsed="false">
      <c r="A30" s="6" t="s">
        <v>724</v>
      </c>
      <c r="B30" s="6" t="n">
        <v>32</v>
      </c>
      <c r="C30" s="6" t="s">
        <v>460</v>
      </c>
      <c r="D30" s="6" t="s">
        <v>461</v>
      </c>
      <c r="E30" s="6" t="s">
        <v>758</v>
      </c>
      <c r="F30" s="6" t="s">
        <v>99</v>
      </c>
    </row>
    <row r="31" customFormat="false" ht="15" hidden="false" customHeight="false" outlineLevel="0" collapsed="false">
      <c r="A31" s="6" t="s">
        <v>759</v>
      </c>
      <c r="B31" s="6" t="n">
        <v>5</v>
      </c>
      <c r="C31" s="6" t="s">
        <v>472</v>
      </c>
      <c r="D31" s="6" t="s">
        <v>439</v>
      </c>
      <c r="E31" s="6" t="s">
        <v>760</v>
      </c>
      <c r="F31" s="6" t="s">
        <v>52</v>
      </c>
    </row>
    <row r="32" customFormat="false" ht="15" hidden="false" customHeight="false" outlineLevel="0" collapsed="false">
      <c r="A32" s="6" t="s">
        <v>759</v>
      </c>
      <c r="B32" s="6" t="n">
        <v>6</v>
      </c>
      <c r="C32" s="6" t="s">
        <v>476</v>
      </c>
      <c r="D32" s="6" t="s">
        <v>477</v>
      </c>
      <c r="E32" s="6" t="s">
        <v>760</v>
      </c>
      <c r="F32" s="6" t="s">
        <v>52</v>
      </c>
    </row>
    <row r="33" customFormat="false" ht="15" hidden="false" customHeight="false" outlineLevel="0" collapsed="false">
      <c r="A33" s="6" t="s">
        <v>759</v>
      </c>
      <c r="B33" s="6" t="n">
        <v>7</v>
      </c>
      <c r="C33" s="6" t="s">
        <v>480</v>
      </c>
      <c r="D33" s="6" t="s">
        <v>200</v>
      </c>
      <c r="E33" s="6" t="s">
        <v>760</v>
      </c>
      <c r="F33" s="6" t="s">
        <v>52</v>
      </c>
    </row>
    <row r="34" customFormat="false" ht="15" hidden="false" customHeight="false" outlineLevel="0" collapsed="false">
      <c r="A34" s="6" t="s">
        <v>759</v>
      </c>
      <c r="B34" s="6" t="n">
        <v>8</v>
      </c>
      <c r="C34" s="6" t="s">
        <v>483</v>
      </c>
      <c r="D34" s="6" t="s">
        <v>484</v>
      </c>
      <c r="E34" s="6" t="s">
        <v>760</v>
      </c>
      <c r="F34" s="6" t="s">
        <v>52</v>
      </c>
    </row>
    <row r="35" customFormat="false" ht="15" hidden="false" customHeight="false" outlineLevel="0" collapsed="false">
      <c r="A35" s="6" t="s">
        <v>759</v>
      </c>
      <c r="B35" s="6" t="n">
        <v>9</v>
      </c>
      <c r="C35" s="6" t="s">
        <v>487</v>
      </c>
      <c r="D35" s="6" t="s">
        <v>488</v>
      </c>
      <c r="E35" s="6" t="s">
        <v>760</v>
      </c>
      <c r="F35" s="6" t="s">
        <v>52</v>
      </c>
    </row>
    <row r="36" customFormat="false" ht="15" hidden="false" customHeight="false" outlineLevel="0" collapsed="false">
      <c r="A36" s="6" t="s">
        <v>759</v>
      </c>
      <c r="B36" s="6" t="n">
        <v>10</v>
      </c>
      <c r="C36" s="6" t="s">
        <v>491</v>
      </c>
      <c r="D36" s="6" t="s">
        <v>492</v>
      </c>
      <c r="E36" s="6" t="s">
        <v>760</v>
      </c>
      <c r="F36" s="6" t="s">
        <v>52</v>
      </c>
    </row>
    <row r="37" customFormat="false" ht="15" hidden="false" customHeight="false" outlineLevel="0" collapsed="false">
      <c r="A37" s="6" t="s">
        <v>759</v>
      </c>
      <c r="B37" s="6" t="n">
        <v>11</v>
      </c>
      <c r="C37" s="6" t="s">
        <v>495</v>
      </c>
      <c r="D37" s="6" t="s">
        <v>121</v>
      </c>
      <c r="E37" s="6" t="s">
        <v>760</v>
      </c>
      <c r="F37" s="6" t="s">
        <v>52</v>
      </c>
    </row>
    <row r="38" customFormat="false" ht="15" hidden="false" customHeight="false" outlineLevel="0" collapsed="false">
      <c r="A38" s="6" t="s">
        <v>759</v>
      </c>
      <c r="B38" s="6" t="n">
        <v>12</v>
      </c>
      <c r="C38" s="6" t="s">
        <v>498</v>
      </c>
      <c r="D38" s="6" t="s">
        <v>499</v>
      </c>
      <c r="E38" s="6" t="s">
        <v>760</v>
      </c>
      <c r="F38" s="6" t="s">
        <v>52</v>
      </c>
    </row>
    <row r="39" customFormat="false" ht="15" hidden="false" customHeight="false" outlineLevel="0" collapsed="false">
      <c r="A39" s="6" t="s">
        <v>759</v>
      </c>
      <c r="B39" s="6" t="n">
        <v>13</v>
      </c>
      <c r="C39" s="6" t="s">
        <v>502</v>
      </c>
      <c r="D39" s="6" t="s">
        <v>503</v>
      </c>
      <c r="E39" s="6" t="s">
        <v>760</v>
      </c>
      <c r="F39" s="6" t="s">
        <v>52</v>
      </c>
    </row>
    <row r="40" customFormat="false" ht="15" hidden="false" customHeight="false" outlineLevel="0" collapsed="false">
      <c r="A40" s="6" t="s">
        <v>759</v>
      </c>
      <c r="B40" s="6" t="n">
        <v>14</v>
      </c>
      <c r="C40" s="6" t="s">
        <v>506</v>
      </c>
      <c r="D40" s="6" t="s">
        <v>507</v>
      </c>
      <c r="E40" s="6" t="s">
        <v>761</v>
      </c>
      <c r="F40" s="6" t="s">
        <v>99</v>
      </c>
    </row>
    <row r="41" customFormat="false" ht="15" hidden="false" customHeight="false" outlineLevel="0" collapsed="false">
      <c r="A41" s="6" t="s">
        <v>759</v>
      </c>
      <c r="B41" s="6" t="n">
        <v>15</v>
      </c>
      <c r="C41" s="6" t="s">
        <v>491</v>
      </c>
      <c r="D41" s="6" t="s">
        <v>308</v>
      </c>
      <c r="E41" s="6" t="s">
        <v>762</v>
      </c>
      <c r="F41" s="6" t="s">
        <v>243</v>
      </c>
    </row>
    <row r="42" customFormat="false" ht="15" hidden="false" customHeight="false" outlineLevel="0" collapsed="false">
      <c r="A42" s="6" t="s">
        <v>759</v>
      </c>
      <c r="B42" s="6" t="n">
        <v>16</v>
      </c>
      <c r="C42" s="6" t="s">
        <v>511</v>
      </c>
      <c r="D42" s="6" t="s">
        <v>200</v>
      </c>
      <c r="E42" s="6" t="s">
        <v>763</v>
      </c>
      <c r="F42" s="6" t="s">
        <v>90</v>
      </c>
    </row>
    <row r="43" customFormat="false" ht="15" hidden="false" customHeight="false" outlineLevel="0" collapsed="false">
      <c r="A43" s="6" t="s">
        <v>759</v>
      </c>
      <c r="B43" s="6" t="n">
        <v>17</v>
      </c>
      <c r="C43" s="6" t="s">
        <v>514</v>
      </c>
      <c r="D43" s="6" t="s">
        <v>515</v>
      </c>
      <c r="E43" s="6" t="s">
        <v>763</v>
      </c>
      <c r="F43" s="6" t="s">
        <v>90</v>
      </c>
    </row>
    <row r="44" customFormat="false" ht="15" hidden="false" customHeight="false" outlineLevel="0" collapsed="false">
      <c r="A44" s="6" t="s">
        <v>759</v>
      </c>
      <c r="B44" s="6" t="n">
        <v>18</v>
      </c>
      <c r="C44" s="6" t="s">
        <v>480</v>
      </c>
      <c r="D44" s="6" t="s">
        <v>519</v>
      </c>
      <c r="E44" s="6" t="s">
        <v>763</v>
      </c>
      <c r="F44" s="6" t="s">
        <v>90</v>
      </c>
    </row>
    <row r="45" customFormat="false" ht="15" hidden="false" customHeight="false" outlineLevel="0" collapsed="false">
      <c r="A45" s="6" t="s">
        <v>759</v>
      </c>
      <c r="B45" s="6" t="n">
        <v>19</v>
      </c>
      <c r="C45" s="6" t="s">
        <v>522</v>
      </c>
      <c r="D45" s="6" t="s">
        <v>523</v>
      </c>
      <c r="E45" s="6" t="s">
        <v>763</v>
      </c>
      <c r="F45" s="6" t="s">
        <v>90</v>
      </c>
    </row>
    <row r="46" customFormat="false" ht="15" hidden="false" customHeight="false" outlineLevel="0" collapsed="false">
      <c r="A46" s="6" t="s">
        <v>759</v>
      </c>
      <c r="B46" s="6" t="n">
        <v>20</v>
      </c>
      <c r="C46" s="6" t="s">
        <v>526</v>
      </c>
      <c r="D46" s="6" t="s">
        <v>200</v>
      </c>
      <c r="E46" s="6" t="s">
        <v>763</v>
      </c>
      <c r="F46" s="6" t="s">
        <v>90</v>
      </c>
    </row>
    <row r="47" customFormat="false" ht="15" hidden="false" customHeight="false" outlineLevel="0" collapsed="false">
      <c r="A47" s="6" t="s">
        <v>759</v>
      </c>
      <c r="B47" s="6" t="n">
        <v>21</v>
      </c>
      <c r="C47" s="6" t="s">
        <v>526</v>
      </c>
      <c r="D47" s="6" t="s">
        <v>187</v>
      </c>
      <c r="E47" s="6" t="s">
        <v>764</v>
      </c>
      <c r="F47" s="6" t="s">
        <v>57</v>
      </c>
    </row>
    <row r="48" customFormat="false" ht="15" hidden="false" customHeight="false" outlineLevel="0" collapsed="false">
      <c r="A48" s="6" t="s">
        <v>759</v>
      </c>
      <c r="B48" s="6" t="n">
        <v>22</v>
      </c>
      <c r="C48" s="6" t="s">
        <v>531</v>
      </c>
      <c r="D48" s="6" t="s">
        <v>200</v>
      </c>
      <c r="E48" s="6" t="s">
        <v>764</v>
      </c>
      <c r="F48" s="6" t="s">
        <v>57</v>
      </c>
    </row>
    <row r="49" customFormat="false" ht="15" hidden="false" customHeight="false" outlineLevel="0" collapsed="false">
      <c r="A49" s="6" t="s">
        <v>759</v>
      </c>
      <c r="B49" s="6" t="n">
        <v>23</v>
      </c>
      <c r="C49" s="6" t="s">
        <v>476</v>
      </c>
      <c r="D49" s="6" t="s">
        <v>308</v>
      </c>
      <c r="E49" s="6" t="s">
        <v>764</v>
      </c>
      <c r="F49" s="6" t="s">
        <v>57</v>
      </c>
    </row>
    <row r="50" customFormat="false" ht="15" hidden="false" customHeight="false" outlineLevel="0" collapsed="false">
      <c r="A50" s="6" t="s">
        <v>759</v>
      </c>
      <c r="B50" s="6" t="n">
        <v>24</v>
      </c>
      <c r="C50" s="6" t="s">
        <v>536</v>
      </c>
      <c r="D50" s="6" t="s">
        <v>121</v>
      </c>
      <c r="E50" s="6" t="s">
        <v>764</v>
      </c>
      <c r="F50" s="6" t="s">
        <v>57</v>
      </c>
    </row>
    <row r="51" customFormat="false" ht="15" hidden="false" customHeight="false" outlineLevel="0" collapsed="false">
      <c r="A51" s="6" t="s">
        <v>759</v>
      </c>
      <c r="B51" s="6" t="n">
        <v>25</v>
      </c>
      <c r="C51" s="6" t="s">
        <v>539</v>
      </c>
      <c r="D51" s="6" t="s">
        <v>187</v>
      </c>
      <c r="E51" s="6" t="s">
        <v>764</v>
      </c>
      <c r="F51" s="6" t="s">
        <v>57</v>
      </c>
    </row>
    <row r="52" customFormat="false" ht="15" hidden="false" customHeight="false" outlineLevel="0" collapsed="false">
      <c r="A52" s="6" t="s">
        <v>765</v>
      </c>
      <c r="B52" s="6" t="n">
        <v>5</v>
      </c>
      <c r="C52" s="6" t="s">
        <v>181</v>
      </c>
      <c r="D52" s="6" t="s">
        <v>559</v>
      </c>
      <c r="E52" s="6" t="s">
        <v>761</v>
      </c>
      <c r="F52" s="6" t="s">
        <v>99</v>
      </c>
    </row>
    <row r="53" customFormat="false" ht="15" hidden="false" customHeight="false" outlineLevel="0" collapsed="false">
      <c r="A53" s="6" t="s">
        <v>765</v>
      </c>
      <c r="B53" s="6" t="n">
        <v>6</v>
      </c>
      <c r="C53" s="6" t="s">
        <v>563</v>
      </c>
      <c r="D53" s="6" t="s">
        <v>564</v>
      </c>
      <c r="E53" s="6" t="s">
        <v>761</v>
      </c>
      <c r="F53" s="6" t="s">
        <v>99</v>
      </c>
    </row>
    <row r="54" customFormat="false" ht="15" hidden="false" customHeight="false" outlineLevel="0" collapsed="false">
      <c r="A54" s="6" t="s">
        <v>765</v>
      </c>
      <c r="B54" s="6" t="n">
        <v>7</v>
      </c>
      <c r="C54" s="6" t="s">
        <v>565</v>
      </c>
      <c r="D54" s="6" t="s">
        <v>507</v>
      </c>
      <c r="E54" s="6" t="s">
        <v>761</v>
      </c>
      <c r="F54" s="6" t="s">
        <v>99</v>
      </c>
    </row>
    <row r="55" customFormat="false" ht="15" hidden="false" customHeight="false" outlineLevel="0" collapsed="false">
      <c r="A55" s="6" t="s">
        <v>765</v>
      </c>
      <c r="B55" s="6" t="n">
        <v>8</v>
      </c>
      <c r="C55" s="6" t="s">
        <v>568</v>
      </c>
      <c r="D55" s="6" t="s">
        <v>569</v>
      </c>
      <c r="E55" s="6" t="s">
        <v>761</v>
      </c>
      <c r="F55" s="6" t="s">
        <v>99</v>
      </c>
    </row>
    <row r="56" customFormat="false" ht="15" hidden="false" customHeight="false" outlineLevel="0" collapsed="false">
      <c r="A56" s="6" t="s">
        <v>765</v>
      </c>
      <c r="B56" s="6" t="n">
        <v>9</v>
      </c>
      <c r="C56" s="6" t="s">
        <v>571</v>
      </c>
      <c r="D56" s="6" t="s">
        <v>572</v>
      </c>
      <c r="E56" s="6" t="s">
        <v>761</v>
      </c>
      <c r="F56" s="6" t="s">
        <v>99</v>
      </c>
    </row>
    <row r="57" customFormat="false" ht="15" hidden="false" customHeight="false" outlineLevel="0" collapsed="false">
      <c r="A57" s="6" t="s">
        <v>765</v>
      </c>
      <c r="B57" s="6" t="n">
        <v>10</v>
      </c>
      <c r="C57" s="6" t="s">
        <v>574</v>
      </c>
      <c r="D57" s="6" t="s">
        <v>575</v>
      </c>
      <c r="E57" s="6" t="s">
        <v>761</v>
      </c>
      <c r="F57" s="6" t="s">
        <v>99</v>
      </c>
    </row>
    <row r="58" customFormat="false" ht="15" hidden="false" customHeight="false" outlineLevel="0" collapsed="false">
      <c r="A58" s="6" t="s">
        <v>765</v>
      </c>
      <c r="B58" s="6" t="n">
        <v>11</v>
      </c>
      <c r="C58" s="6" t="s">
        <v>578</v>
      </c>
      <c r="D58" s="6" t="s">
        <v>579</v>
      </c>
      <c r="E58" s="6" t="s">
        <v>761</v>
      </c>
      <c r="F58" s="6" t="s">
        <v>99</v>
      </c>
    </row>
    <row r="59" customFormat="false" ht="15" hidden="false" customHeight="false" outlineLevel="0" collapsed="false">
      <c r="A59" s="6" t="s">
        <v>765</v>
      </c>
      <c r="B59" s="6" t="n">
        <v>12</v>
      </c>
      <c r="C59" s="6" t="s">
        <v>582</v>
      </c>
      <c r="D59" s="6" t="s">
        <v>583</v>
      </c>
      <c r="E59" s="6" t="s">
        <v>761</v>
      </c>
      <c r="F59" s="6" t="s">
        <v>99</v>
      </c>
    </row>
    <row r="60" customFormat="false" ht="15" hidden="false" customHeight="false" outlineLevel="0" collapsed="false">
      <c r="A60" s="6" t="s">
        <v>765</v>
      </c>
      <c r="B60" s="6" t="n">
        <v>13</v>
      </c>
      <c r="C60" s="6" t="s">
        <v>585</v>
      </c>
      <c r="D60" s="6" t="s">
        <v>766</v>
      </c>
      <c r="E60" s="6" t="s">
        <v>761</v>
      </c>
      <c r="F60" s="6" t="s">
        <v>99</v>
      </c>
    </row>
    <row r="61" customFormat="false" ht="15" hidden="false" customHeight="false" outlineLevel="0" collapsed="false">
      <c r="A61" s="6" t="s">
        <v>765</v>
      </c>
      <c r="B61" s="6" t="n">
        <v>14</v>
      </c>
      <c r="C61" s="6" t="s">
        <v>589</v>
      </c>
      <c r="D61" s="6" t="s">
        <v>590</v>
      </c>
      <c r="E61" s="6" t="s">
        <v>764</v>
      </c>
      <c r="F61" s="6" t="s">
        <v>57</v>
      </c>
    </row>
    <row r="62" customFormat="false" ht="15" hidden="false" customHeight="false" outlineLevel="0" collapsed="false">
      <c r="A62" s="6" t="s">
        <v>765</v>
      </c>
      <c r="B62" s="6" t="n">
        <v>15</v>
      </c>
      <c r="C62" s="6" t="s">
        <v>589</v>
      </c>
      <c r="D62" s="6" t="s">
        <v>592</v>
      </c>
      <c r="E62" s="6" t="s">
        <v>764</v>
      </c>
      <c r="F62" s="6" t="s">
        <v>57</v>
      </c>
    </row>
    <row r="63" customFormat="false" ht="15" hidden="false" customHeight="false" outlineLevel="0" collapsed="false">
      <c r="A63" s="6" t="s">
        <v>765</v>
      </c>
      <c r="B63" s="6" t="n">
        <v>16</v>
      </c>
      <c r="C63" s="6" t="s">
        <v>595</v>
      </c>
      <c r="D63" s="6" t="s">
        <v>596</v>
      </c>
      <c r="E63" s="6" t="s">
        <v>764</v>
      </c>
      <c r="F63" s="6" t="s">
        <v>57</v>
      </c>
    </row>
    <row r="64" customFormat="false" ht="15" hidden="false" customHeight="false" outlineLevel="0" collapsed="false">
      <c r="A64" s="6" t="s">
        <v>765</v>
      </c>
      <c r="B64" s="6" t="n">
        <v>17</v>
      </c>
      <c r="C64" s="6" t="s">
        <v>599</v>
      </c>
      <c r="D64" s="6" t="s">
        <v>600</v>
      </c>
      <c r="E64" s="6" t="s">
        <v>764</v>
      </c>
      <c r="F64" s="6" t="s">
        <v>601</v>
      </c>
    </row>
    <row r="65" customFormat="false" ht="15" hidden="false" customHeight="false" outlineLevel="0" collapsed="false">
      <c r="A65" s="6" t="s">
        <v>765</v>
      </c>
      <c r="B65" s="6" t="n">
        <v>18</v>
      </c>
      <c r="C65" s="6" t="s">
        <v>181</v>
      </c>
      <c r="D65" s="6" t="s">
        <v>604</v>
      </c>
      <c r="E65" s="6" t="s">
        <v>764</v>
      </c>
      <c r="F65" s="6" t="s">
        <v>57</v>
      </c>
    </row>
    <row r="66" customFormat="false" ht="15" hidden="false" customHeight="false" outlineLevel="0" collapsed="false">
      <c r="A66" s="6" t="s">
        <v>765</v>
      </c>
      <c r="B66" s="6" t="n">
        <v>19</v>
      </c>
      <c r="C66" s="6" t="s">
        <v>607</v>
      </c>
      <c r="D66" s="6" t="s">
        <v>187</v>
      </c>
      <c r="E66" s="6" t="s">
        <v>764</v>
      </c>
      <c r="F66" s="6" t="s">
        <v>57</v>
      </c>
    </row>
    <row r="67" customFormat="false" ht="15" hidden="false" customHeight="false" outlineLevel="0" collapsed="false">
      <c r="A67" s="6" t="s">
        <v>765</v>
      </c>
      <c r="B67" s="6" t="n">
        <v>21</v>
      </c>
      <c r="C67" s="6" t="s">
        <v>181</v>
      </c>
      <c r="D67" s="6" t="s">
        <v>423</v>
      </c>
      <c r="E67" s="6" t="s">
        <v>767</v>
      </c>
      <c r="F67" s="6" t="s">
        <v>90</v>
      </c>
    </row>
    <row r="68" customFormat="false" ht="15" hidden="false" customHeight="false" outlineLevel="0" collapsed="false">
      <c r="A68" s="6" t="s">
        <v>765</v>
      </c>
      <c r="B68" s="6" t="n">
        <v>22</v>
      </c>
      <c r="C68" s="6" t="s">
        <v>448</v>
      </c>
      <c r="D68" s="6" t="s">
        <v>615</v>
      </c>
      <c r="E68" s="6" t="s">
        <v>767</v>
      </c>
      <c r="F68" s="6" t="s">
        <v>90</v>
      </c>
    </row>
    <row r="69" customFormat="false" ht="15" hidden="false" customHeight="false" outlineLevel="0" collapsed="false">
      <c r="A69" s="6" t="s">
        <v>765</v>
      </c>
      <c r="B69" s="6" t="n">
        <v>23</v>
      </c>
      <c r="C69" s="6" t="s">
        <v>607</v>
      </c>
      <c r="D69" s="6" t="s">
        <v>121</v>
      </c>
      <c r="E69" s="6" t="s">
        <v>767</v>
      </c>
      <c r="F69" s="6" t="s">
        <v>90</v>
      </c>
    </row>
    <row r="70" customFormat="false" ht="15" hidden="false" customHeight="false" outlineLevel="0" collapsed="false">
      <c r="A70" s="6" t="s">
        <v>765</v>
      </c>
      <c r="B70" s="6" t="n">
        <v>24</v>
      </c>
      <c r="C70" s="6" t="s">
        <v>620</v>
      </c>
      <c r="D70" s="6" t="s">
        <v>187</v>
      </c>
      <c r="E70" s="6" t="s">
        <v>767</v>
      </c>
      <c r="F70" s="6" t="s">
        <v>90</v>
      </c>
    </row>
    <row r="71" customFormat="false" ht="15" hidden="false" customHeight="false" outlineLevel="0" collapsed="false">
      <c r="A71" s="6" t="s">
        <v>765</v>
      </c>
      <c r="B71" s="6" t="n">
        <v>25</v>
      </c>
      <c r="C71" s="6" t="s">
        <v>620</v>
      </c>
      <c r="D71" s="6" t="s">
        <v>200</v>
      </c>
      <c r="E71" s="6" t="s">
        <v>767</v>
      </c>
      <c r="F71" s="6" t="s">
        <v>90</v>
      </c>
    </row>
    <row r="72" customFormat="false" ht="15" hidden="false" customHeight="false" outlineLevel="0" collapsed="false">
      <c r="A72" s="6" t="s">
        <v>765</v>
      </c>
      <c r="B72" s="6" t="n">
        <v>26</v>
      </c>
      <c r="C72" s="6" t="s">
        <v>624</v>
      </c>
      <c r="D72" s="6" t="s">
        <v>625</v>
      </c>
      <c r="E72" s="6" t="s">
        <v>767</v>
      </c>
      <c r="F72" s="6" t="s">
        <v>90</v>
      </c>
    </row>
    <row r="73" customFormat="false" ht="15" hidden="false" customHeight="false" outlineLevel="0" collapsed="false">
      <c r="A73" s="6" t="s">
        <v>765</v>
      </c>
      <c r="B73" s="6" t="n">
        <v>27</v>
      </c>
      <c r="C73" s="6" t="s">
        <v>628</v>
      </c>
      <c r="D73" s="6" t="s">
        <v>629</v>
      </c>
      <c r="E73" s="6" t="s">
        <v>768</v>
      </c>
      <c r="F73" s="6" t="s">
        <v>52</v>
      </c>
    </row>
    <row r="74" customFormat="false" ht="15" hidden="false" customHeight="false" outlineLevel="0" collapsed="false">
      <c r="A74" s="6" t="s">
        <v>765</v>
      </c>
      <c r="B74" s="6" t="n">
        <v>28</v>
      </c>
      <c r="C74" s="6" t="s">
        <v>589</v>
      </c>
      <c r="D74" s="6" t="s">
        <v>632</v>
      </c>
      <c r="E74" s="6" t="s">
        <v>768</v>
      </c>
      <c r="F74" s="6" t="s">
        <v>52</v>
      </c>
    </row>
    <row r="75" customFormat="false" ht="15" hidden="false" customHeight="false" outlineLevel="0" collapsed="false">
      <c r="A75" s="6" t="s">
        <v>765</v>
      </c>
      <c r="B75" s="6" t="n">
        <v>29</v>
      </c>
      <c r="C75" s="6" t="s">
        <v>634</v>
      </c>
      <c r="D75" s="6" t="s">
        <v>769</v>
      </c>
      <c r="E75" s="6" t="s">
        <v>768</v>
      </c>
      <c r="F75" s="6" t="s">
        <v>52</v>
      </c>
    </row>
    <row r="76" customFormat="false" ht="15" hidden="false" customHeight="false" outlineLevel="0" collapsed="false">
      <c r="A76" s="6" t="s">
        <v>765</v>
      </c>
      <c r="B76" s="6" t="n">
        <v>30</v>
      </c>
      <c r="C76" s="6" t="s">
        <v>638</v>
      </c>
      <c r="D76" s="6" t="s">
        <v>639</v>
      </c>
      <c r="E76" s="6" t="s">
        <v>768</v>
      </c>
      <c r="F76" s="6" t="s">
        <v>52</v>
      </c>
    </row>
    <row r="77" customFormat="false" ht="15" hidden="false" customHeight="false" outlineLevel="0" collapsed="false">
      <c r="A77" s="6" t="s">
        <v>765</v>
      </c>
      <c r="B77" s="6" t="n">
        <v>31</v>
      </c>
      <c r="C77" s="6" t="s">
        <v>642</v>
      </c>
      <c r="D77" s="6" t="s">
        <v>643</v>
      </c>
      <c r="E77" s="6" t="s">
        <v>768</v>
      </c>
      <c r="F77" s="6" t="s">
        <v>52</v>
      </c>
    </row>
    <row r="78" customFormat="false" ht="15" hidden="false" customHeight="false" outlineLevel="0" collapsed="false">
      <c r="A78" s="6" t="s">
        <v>765</v>
      </c>
      <c r="B78" s="6" t="n">
        <v>32</v>
      </c>
      <c r="C78" s="6" t="s">
        <v>646</v>
      </c>
      <c r="D78" s="6" t="s">
        <v>121</v>
      </c>
      <c r="E78" s="6" t="s">
        <v>768</v>
      </c>
      <c r="F78" s="6" t="s">
        <v>52</v>
      </c>
    </row>
    <row r="79" customFormat="false" ht="15" hidden="false" customHeight="false" outlineLevel="0" collapsed="false">
      <c r="A79" s="6" t="s">
        <v>765</v>
      </c>
      <c r="B79" s="6" t="n">
        <v>36</v>
      </c>
      <c r="C79" s="6" t="s">
        <v>655</v>
      </c>
      <c r="D79" s="6" t="s">
        <v>656</v>
      </c>
      <c r="E79" s="6" t="s">
        <v>757</v>
      </c>
      <c r="F79" s="6" t="s">
        <v>243</v>
      </c>
    </row>
    <row r="80" customFormat="false" ht="15" hidden="false" customHeight="false" outlineLevel="0" collapsed="false">
      <c r="A80" s="6" t="s">
        <v>765</v>
      </c>
      <c r="B80" s="6" t="n">
        <v>37</v>
      </c>
      <c r="C80" s="6" t="s">
        <v>659</v>
      </c>
      <c r="D80" s="6" t="s">
        <v>660</v>
      </c>
      <c r="E80" s="6" t="s">
        <v>757</v>
      </c>
      <c r="F80" s="6" t="s">
        <v>243</v>
      </c>
    </row>
    <row r="81" customFormat="false" ht="15" hidden="false" customHeight="false" outlineLevel="0" collapsed="false">
      <c r="A81" s="6" t="s">
        <v>765</v>
      </c>
      <c r="B81" s="6" t="n">
        <v>38</v>
      </c>
      <c r="C81" s="6" t="s">
        <v>642</v>
      </c>
      <c r="D81" s="6" t="s">
        <v>663</v>
      </c>
      <c r="E81" s="6" t="s">
        <v>757</v>
      </c>
      <c r="F81" s="6" t="s">
        <v>243</v>
      </c>
    </row>
    <row r="82" customFormat="false" ht="15" hidden="false" customHeight="false" outlineLevel="0" collapsed="false">
      <c r="A82" s="6" t="s">
        <v>765</v>
      </c>
      <c r="B82" s="6" t="n">
        <v>39</v>
      </c>
      <c r="C82" s="6" t="s">
        <v>571</v>
      </c>
      <c r="D82" s="6" t="s">
        <v>770</v>
      </c>
      <c r="E82" s="6" t="s">
        <v>757</v>
      </c>
      <c r="F82" s="6" t="s">
        <v>243</v>
      </c>
    </row>
    <row r="83" customFormat="false" ht="15" hidden="false" customHeight="false" outlineLevel="0" collapsed="false">
      <c r="A83" s="6" t="s">
        <v>765</v>
      </c>
      <c r="B83" s="6" t="n">
        <v>40</v>
      </c>
      <c r="C83" s="6" t="s">
        <v>607</v>
      </c>
      <c r="D83" s="6" t="s">
        <v>656</v>
      </c>
      <c r="E83" s="6" t="s">
        <v>771</v>
      </c>
      <c r="F83" s="6" t="s">
        <v>243</v>
      </c>
    </row>
    <row r="84" customFormat="false" ht="15" hidden="false" customHeight="false" outlineLevel="0" collapsed="false">
      <c r="A84" s="6" t="s">
        <v>765</v>
      </c>
      <c r="B84" s="6" t="n">
        <v>41</v>
      </c>
      <c r="C84" s="6" t="s">
        <v>671</v>
      </c>
      <c r="D84" s="6" t="s">
        <v>187</v>
      </c>
      <c r="E84" s="6" t="s">
        <v>761</v>
      </c>
      <c r="F84" s="6" t="s">
        <v>99</v>
      </c>
    </row>
    <row r="85" customFormat="false" ht="15" hidden="false" customHeight="false" outlineLevel="0" collapsed="false">
      <c r="A85" s="6" t="s">
        <v>765</v>
      </c>
      <c r="B85" s="6" t="n">
        <v>55</v>
      </c>
      <c r="C85" s="6" t="s">
        <v>511</v>
      </c>
      <c r="D85" s="6" t="s">
        <v>200</v>
      </c>
      <c r="E85" s="6" t="s">
        <v>772</v>
      </c>
      <c r="F85" s="6" t="s">
        <v>90</v>
      </c>
    </row>
    <row r="87" customFormat="false" ht="15" hidden="false" customHeight="false" outlineLevel="0" collapsed="false">
      <c r="A87" s="28" t="s">
        <v>773</v>
      </c>
    </row>
    <row r="88" customFormat="false" ht="15" hidden="false" customHeight="false" outlineLevel="0" collapsed="false">
      <c r="A88" s="30" t="s">
        <v>750</v>
      </c>
      <c r="B88" s="30" t="s">
        <v>751</v>
      </c>
      <c r="C88" s="30" t="s">
        <v>774</v>
      </c>
      <c r="D88" s="30" t="s">
        <v>775</v>
      </c>
    </row>
    <row r="89" customFormat="false" ht="15" hidden="false" customHeight="false" outlineLevel="0" collapsed="false">
      <c r="A89" s="6" t="s">
        <v>724</v>
      </c>
      <c r="B89" s="6" t="n">
        <v>11</v>
      </c>
      <c r="C89" s="6" t="s">
        <v>776</v>
      </c>
      <c r="D89" s="6" t="s">
        <v>777</v>
      </c>
    </row>
    <row r="90" customFormat="false" ht="15" hidden="false" customHeight="false" outlineLevel="0" collapsed="false">
      <c r="A90" s="6" t="s">
        <v>724</v>
      </c>
      <c r="B90" s="6" t="n">
        <v>39</v>
      </c>
      <c r="C90" s="6" t="s">
        <v>776</v>
      </c>
      <c r="D90" s="6" t="s">
        <v>778</v>
      </c>
    </row>
    <row r="91" customFormat="false" ht="22.35" hidden="false" customHeight="false" outlineLevel="0" collapsed="false">
      <c r="A91" s="6" t="s">
        <v>724</v>
      </c>
      <c r="B91" s="6" t="n">
        <v>40</v>
      </c>
      <c r="C91" s="6" t="s">
        <v>776</v>
      </c>
      <c r="D91" s="6" t="s">
        <v>779</v>
      </c>
    </row>
    <row r="92" customFormat="false" ht="15" hidden="false" customHeight="false" outlineLevel="0" collapsed="false">
      <c r="A92" s="6" t="s">
        <v>724</v>
      </c>
      <c r="B92" s="6" t="n">
        <v>41</v>
      </c>
      <c r="C92" s="6" t="s">
        <v>776</v>
      </c>
      <c r="D92" s="6" t="s">
        <v>780</v>
      </c>
    </row>
    <row r="93" customFormat="false" ht="15" hidden="false" customHeight="false" outlineLevel="0" collapsed="false">
      <c r="A93" s="6" t="s">
        <v>724</v>
      </c>
      <c r="B93" s="6" t="n">
        <v>50</v>
      </c>
      <c r="C93" s="6" t="s">
        <v>776</v>
      </c>
      <c r="D93" s="6" t="s">
        <v>781</v>
      </c>
    </row>
    <row r="94" customFormat="false" ht="15" hidden="false" customHeight="false" outlineLevel="0" collapsed="false">
      <c r="A94" s="6" t="s">
        <v>724</v>
      </c>
      <c r="B94" s="6" t="n">
        <v>54</v>
      </c>
      <c r="C94" s="6" t="s">
        <v>776</v>
      </c>
      <c r="D94" s="6" t="s">
        <v>782</v>
      </c>
    </row>
    <row r="95" customFormat="false" ht="15" hidden="false" customHeight="false" outlineLevel="0" collapsed="false">
      <c r="A95" s="6" t="s">
        <v>724</v>
      </c>
      <c r="B95" s="6" t="n">
        <v>57</v>
      </c>
      <c r="C95" s="6" t="s">
        <v>776</v>
      </c>
      <c r="D95" s="6" t="s">
        <v>783</v>
      </c>
    </row>
    <row r="96" customFormat="false" ht="15" hidden="false" customHeight="false" outlineLevel="0" collapsed="false">
      <c r="A96" s="6" t="s">
        <v>723</v>
      </c>
      <c r="B96" s="6" t="n">
        <v>14</v>
      </c>
      <c r="C96" s="6" t="s">
        <v>776</v>
      </c>
      <c r="D96" s="6" t="s">
        <v>778</v>
      </c>
    </row>
    <row r="97" customFormat="false" ht="22.35" hidden="false" customHeight="false" outlineLevel="0" collapsed="false">
      <c r="A97" s="6" t="s">
        <v>723</v>
      </c>
      <c r="B97" s="6" t="n">
        <v>15</v>
      </c>
      <c r="C97" s="6" t="s">
        <v>776</v>
      </c>
      <c r="D97" s="6" t="s">
        <v>779</v>
      </c>
    </row>
    <row r="98" customFormat="false" ht="15" hidden="false" customHeight="false" outlineLevel="0" collapsed="false">
      <c r="A98" s="6" t="s">
        <v>723</v>
      </c>
      <c r="B98" s="6" t="n">
        <v>16</v>
      </c>
      <c r="C98" s="6" t="s">
        <v>776</v>
      </c>
      <c r="D98" s="6" t="s">
        <v>780</v>
      </c>
    </row>
    <row r="99" customFormat="false" ht="15" hidden="false" customHeight="false" outlineLevel="0" collapsed="false">
      <c r="A99" s="6" t="s">
        <v>723</v>
      </c>
      <c r="B99" s="6" t="n">
        <v>25</v>
      </c>
      <c r="C99" s="6" t="s">
        <v>776</v>
      </c>
      <c r="D99" s="6" t="s">
        <v>784</v>
      </c>
    </row>
    <row r="100" customFormat="false" ht="22.35" hidden="false" customHeight="false" outlineLevel="0" collapsed="false">
      <c r="A100" s="6" t="s">
        <v>723</v>
      </c>
      <c r="B100" s="6" t="n">
        <v>28</v>
      </c>
      <c r="C100" s="6" t="s">
        <v>776</v>
      </c>
      <c r="D100" s="6" t="s">
        <v>785</v>
      </c>
    </row>
    <row r="101" customFormat="false" ht="15" hidden="false" customHeight="false" outlineLevel="0" collapsed="false">
      <c r="A101" s="6" t="s">
        <v>723</v>
      </c>
      <c r="B101" s="6" t="n">
        <v>29</v>
      </c>
      <c r="C101" s="6" t="s">
        <v>776</v>
      </c>
      <c r="D101" s="6" t="s">
        <v>782</v>
      </c>
    </row>
    <row r="102" customFormat="false" ht="15" hidden="false" customHeight="false" outlineLevel="0" collapsed="false">
      <c r="A102" s="6" t="s">
        <v>723</v>
      </c>
      <c r="B102" s="6" t="n">
        <v>33</v>
      </c>
      <c r="C102" s="6" t="s">
        <v>776</v>
      </c>
      <c r="D102" s="6" t="s">
        <v>783</v>
      </c>
    </row>
    <row r="103" customFormat="false" ht="22.35" hidden="false" customHeight="false" outlineLevel="0" collapsed="false">
      <c r="A103" s="6" t="s">
        <v>723</v>
      </c>
      <c r="B103" s="6" t="n">
        <v>34</v>
      </c>
      <c r="C103" s="6" t="s">
        <v>776</v>
      </c>
      <c r="D103" s="6" t="s">
        <v>786</v>
      </c>
    </row>
    <row r="104" customFormat="false" ht="15" hidden="false" customHeight="false" outlineLevel="0" collapsed="false">
      <c r="A104" s="6" t="s">
        <v>723</v>
      </c>
      <c r="B104" s="6" t="n">
        <v>36</v>
      </c>
      <c r="C104" s="6" t="s">
        <v>776</v>
      </c>
      <c r="D104" s="6" t="s">
        <v>787</v>
      </c>
    </row>
    <row r="105" customFormat="false" ht="15" hidden="false" customHeight="false" outlineLevel="0" collapsed="false">
      <c r="A105" s="6" t="s">
        <v>723</v>
      </c>
      <c r="B105" s="6" t="n">
        <v>39</v>
      </c>
      <c r="C105" s="6" t="s">
        <v>776</v>
      </c>
      <c r="D105" s="6" t="s">
        <v>788</v>
      </c>
    </row>
    <row r="106" customFormat="false" ht="15" hidden="false" customHeight="false" outlineLevel="0" collapsed="false">
      <c r="A106" s="6" t="s">
        <v>723</v>
      </c>
      <c r="B106" s="6" t="n">
        <v>44</v>
      </c>
      <c r="C106" s="6" t="s">
        <v>776</v>
      </c>
      <c r="D106" s="6" t="s">
        <v>784</v>
      </c>
    </row>
    <row r="107" customFormat="false" ht="15" hidden="false" customHeight="false" outlineLevel="0" collapsed="false">
      <c r="A107" s="6" t="s">
        <v>723</v>
      </c>
      <c r="B107" s="6" t="n">
        <v>55</v>
      </c>
      <c r="C107" s="6" t="s">
        <v>776</v>
      </c>
      <c r="D107" s="6" t="s">
        <v>784</v>
      </c>
    </row>
    <row r="108" customFormat="false" ht="15" hidden="false" customHeight="false" outlineLevel="0" collapsed="false">
      <c r="A108" s="6" t="s">
        <v>723</v>
      </c>
      <c r="B108" s="6" t="n">
        <v>72</v>
      </c>
      <c r="C108" s="6" t="s">
        <v>776</v>
      </c>
      <c r="D108" s="6" t="s">
        <v>789</v>
      </c>
    </row>
    <row r="109" customFormat="false" ht="15" hidden="false" customHeight="false" outlineLevel="0" collapsed="false">
      <c r="A109" s="6" t="s">
        <v>722</v>
      </c>
      <c r="B109" s="6" t="n">
        <v>24</v>
      </c>
      <c r="C109" s="6" t="s">
        <v>776</v>
      </c>
      <c r="D109" s="6" t="s">
        <v>790</v>
      </c>
    </row>
    <row r="110" customFormat="false" ht="15" hidden="false" customHeight="false" outlineLevel="0" collapsed="false">
      <c r="A110" s="6" t="s">
        <v>722</v>
      </c>
      <c r="B110" s="6" t="n">
        <v>32</v>
      </c>
      <c r="C110" s="6" t="s">
        <v>776</v>
      </c>
      <c r="D110" s="6" t="s">
        <v>791</v>
      </c>
    </row>
    <row r="111" customFormat="false" ht="15" hidden="false" customHeight="false" outlineLevel="0" collapsed="false">
      <c r="A111" s="6" t="s">
        <v>722</v>
      </c>
      <c r="B111" s="6" t="n">
        <v>37</v>
      </c>
      <c r="C111" s="6" t="s">
        <v>776</v>
      </c>
      <c r="D111" s="6" t="s">
        <v>792</v>
      </c>
    </row>
    <row r="112" customFormat="false" ht="15" hidden="false" customHeight="false" outlineLevel="0" collapsed="false">
      <c r="A112" s="6" t="s">
        <v>765</v>
      </c>
      <c r="B112" s="6" t="n">
        <v>29</v>
      </c>
      <c r="C112" s="6" t="s">
        <v>776</v>
      </c>
      <c r="D112" s="6" t="s">
        <v>793</v>
      </c>
    </row>
    <row r="113" customFormat="false" ht="15" hidden="false" customHeight="false" outlineLevel="0" collapsed="false">
      <c r="A113" s="6" t="s">
        <v>723</v>
      </c>
      <c r="B113" s="6" t="n">
        <v>42</v>
      </c>
      <c r="C113" s="6" t="s">
        <v>794</v>
      </c>
      <c r="D113" s="6" t="s">
        <v>795</v>
      </c>
    </row>
    <row r="114" customFormat="false" ht="15" hidden="false" customHeight="false" outlineLevel="0" collapsed="false">
      <c r="A114" s="6" t="s">
        <v>723</v>
      </c>
      <c r="B114" s="6" t="n">
        <v>30</v>
      </c>
      <c r="C114" s="6" t="s">
        <v>796</v>
      </c>
      <c r="D114" s="6" t="s">
        <v>35</v>
      </c>
    </row>
    <row r="115" customFormat="false" ht="15" hidden="false" customHeight="false" outlineLevel="0" collapsed="false">
      <c r="A115" s="6" t="s">
        <v>722</v>
      </c>
      <c r="B115" s="6" t="n">
        <v>5</v>
      </c>
      <c r="C115" s="6" t="s">
        <v>796</v>
      </c>
      <c r="D115" s="6" t="s">
        <v>35</v>
      </c>
    </row>
    <row r="116" customFormat="false" ht="15" hidden="false" customHeight="false" outlineLevel="0" collapsed="false">
      <c r="A116" s="6" t="s">
        <v>765</v>
      </c>
      <c r="B116" s="6" t="n">
        <v>29</v>
      </c>
      <c r="C116" s="6" t="s">
        <v>796</v>
      </c>
      <c r="D116" s="6" t="s">
        <v>634</v>
      </c>
    </row>
    <row r="117" customFormat="false" ht="15" hidden="false" customHeight="false" outlineLevel="0" collapsed="false">
      <c r="A117" s="6" t="s">
        <v>765</v>
      </c>
      <c r="B117" s="6" t="n">
        <v>69</v>
      </c>
      <c r="C117" s="6" t="s">
        <v>796</v>
      </c>
      <c r="D117" s="6"/>
    </row>
    <row r="118" customFormat="false" ht="15" hidden="false" customHeight="false" outlineLevel="0" collapsed="false">
      <c r="A118" s="6" t="s">
        <v>765</v>
      </c>
      <c r="B118" s="6" t="n">
        <v>70</v>
      </c>
      <c r="C118" s="6" t="s">
        <v>796</v>
      </c>
      <c r="D118" s="6"/>
    </row>
    <row r="119" customFormat="false" ht="15" hidden="false" customHeight="false" outlineLevel="0" collapsed="false">
      <c r="A119" s="6" t="s">
        <v>765</v>
      </c>
      <c r="B119" s="6" t="n">
        <v>71</v>
      </c>
      <c r="C119" s="6" t="s">
        <v>796</v>
      </c>
      <c r="D119" s="6"/>
    </row>
    <row r="120" customFormat="false" ht="15" hidden="false" customHeight="false" outlineLevel="0" collapsed="false">
      <c r="A120" s="6" t="s">
        <v>765</v>
      </c>
      <c r="B120" s="6" t="n">
        <v>72</v>
      </c>
      <c r="C120" s="6" t="s">
        <v>796</v>
      </c>
      <c r="D120" s="6"/>
    </row>
    <row r="121" customFormat="false" ht="15" hidden="false" customHeight="false" outlineLevel="0" collapsed="false">
      <c r="A121" s="6" t="s">
        <v>765</v>
      </c>
      <c r="B121" s="6" t="n">
        <v>73</v>
      </c>
      <c r="C121" s="6" t="s">
        <v>796</v>
      </c>
      <c r="D121" s="6"/>
    </row>
    <row r="122" customFormat="false" ht="15" hidden="false" customHeight="false" outlineLevel="0" collapsed="false">
      <c r="A122" s="6" t="s">
        <v>765</v>
      </c>
      <c r="B122" s="6" t="n">
        <v>74</v>
      </c>
      <c r="C122" s="6" t="s">
        <v>796</v>
      </c>
      <c r="D122" s="6"/>
    </row>
    <row r="123" customFormat="false" ht="15" hidden="false" customHeight="false" outlineLevel="0" collapsed="false">
      <c r="A123" s="6" t="s">
        <v>765</v>
      </c>
      <c r="B123" s="6" t="n">
        <v>75</v>
      </c>
      <c r="C123" s="6" t="s">
        <v>796</v>
      </c>
      <c r="D123" s="6"/>
    </row>
    <row r="124" customFormat="false" ht="22.35" hidden="false" customHeight="false" outlineLevel="0" collapsed="false">
      <c r="A124" s="6" t="s">
        <v>759</v>
      </c>
      <c r="B124" s="6" t="n">
        <v>17</v>
      </c>
      <c r="C124" s="6" t="s">
        <v>797</v>
      </c>
      <c r="D124" s="6" t="s">
        <v>516</v>
      </c>
    </row>
    <row r="125" customFormat="false" ht="22.35" hidden="false" customHeight="false" outlineLevel="0" collapsed="false">
      <c r="A125" s="6" t="s">
        <v>724</v>
      </c>
      <c r="B125" s="6" t="n">
        <v>26</v>
      </c>
      <c r="C125" s="6" t="s">
        <v>797</v>
      </c>
      <c r="D125" s="6" t="s">
        <v>170</v>
      </c>
    </row>
    <row r="126" customFormat="false" ht="22.35" hidden="false" customHeight="false" outlineLevel="0" collapsed="false">
      <c r="A126" s="6" t="s">
        <v>724</v>
      </c>
      <c r="B126" s="6" t="n">
        <v>37</v>
      </c>
      <c r="C126" s="6" t="s">
        <v>797</v>
      </c>
      <c r="D126" s="6" t="s">
        <v>207</v>
      </c>
    </row>
    <row r="127" customFormat="false" ht="22.35" hidden="false" customHeight="false" outlineLevel="0" collapsed="false">
      <c r="A127" s="6" t="s">
        <v>724</v>
      </c>
      <c r="B127" s="6" t="n">
        <v>39</v>
      </c>
      <c r="C127" s="6" t="s">
        <v>797</v>
      </c>
      <c r="D127" s="6" t="s">
        <v>170</v>
      </c>
    </row>
    <row r="128" customFormat="false" ht="22.35" hidden="false" customHeight="false" outlineLevel="0" collapsed="false">
      <c r="A128" s="6" t="s">
        <v>724</v>
      </c>
      <c r="B128" s="6" t="n">
        <v>40</v>
      </c>
      <c r="C128" s="6" t="s">
        <v>797</v>
      </c>
      <c r="D128" s="6" t="s">
        <v>170</v>
      </c>
    </row>
    <row r="129" customFormat="false" ht="22.35" hidden="false" customHeight="false" outlineLevel="0" collapsed="false">
      <c r="A129" s="6" t="s">
        <v>724</v>
      </c>
      <c r="B129" s="6" t="n">
        <v>56</v>
      </c>
      <c r="C129" s="6" t="s">
        <v>797</v>
      </c>
      <c r="D129" s="6" t="s">
        <v>170</v>
      </c>
    </row>
    <row r="130" customFormat="false" ht="22.35" hidden="false" customHeight="false" outlineLevel="0" collapsed="false">
      <c r="A130" s="6" t="s">
        <v>724</v>
      </c>
      <c r="B130" s="6" t="n">
        <v>57</v>
      </c>
      <c r="C130" s="6" t="s">
        <v>797</v>
      </c>
      <c r="D130" s="6" t="s">
        <v>170</v>
      </c>
    </row>
    <row r="131" customFormat="false" ht="22.35" hidden="false" customHeight="false" outlineLevel="0" collapsed="false">
      <c r="A131" s="6" t="s">
        <v>724</v>
      </c>
      <c r="B131" s="6" t="n">
        <v>58</v>
      </c>
      <c r="C131" s="6" t="s">
        <v>797</v>
      </c>
      <c r="D131" s="6" t="s">
        <v>170</v>
      </c>
    </row>
    <row r="132" customFormat="false" ht="22.35" hidden="false" customHeight="false" outlineLevel="0" collapsed="false">
      <c r="A132" s="6" t="s">
        <v>724</v>
      </c>
      <c r="B132" s="6" t="n">
        <v>60</v>
      </c>
      <c r="C132" s="6" t="s">
        <v>797</v>
      </c>
      <c r="D132" s="6" t="s">
        <v>170</v>
      </c>
    </row>
    <row r="133" customFormat="false" ht="22.35" hidden="false" customHeight="false" outlineLevel="0" collapsed="false">
      <c r="A133" s="6" t="s">
        <v>723</v>
      </c>
      <c r="B133" s="6" t="n">
        <v>5</v>
      </c>
      <c r="C133" s="6" t="s">
        <v>797</v>
      </c>
      <c r="D133" s="6" t="s">
        <v>170</v>
      </c>
    </row>
    <row r="134" customFormat="false" ht="22.35" hidden="false" customHeight="false" outlineLevel="0" collapsed="false">
      <c r="A134" s="6" t="s">
        <v>723</v>
      </c>
      <c r="B134" s="6" t="n">
        <v>12</v>
      </c>
      <c r="C134" s="6" t="s">
        <v>797</v>
      </c>
      <c r="D134" s="6" t="s">
        <v>207</v>
      </c>
    </row>
    <row r="135" customFormat="false" ht="22.35" hidden="false" customHeight="false" outlineLevel="0" collapsed="false">
      <c r="A135" s="6" t="s">
        <v>723</v>
      </c>
      <c r="B135" s="6" t="n">
        <v>14</v>
      </c>
      <c r="C135" s="6" t="s">
        <v>797</v>
      </c>
      <c r="D135" s="6" t="s">
        <v>170</v>
      </c>
    </row>
    <row r="136" customFormat="false" ht="22.35" hidden="false" customHeight="false" outlineLevel="0" collapsed="false">
      <c r="A136" s="6" t="s">
        <v>723</v>
      </c>
      <c r="B136" s="6" t="n">
        <v>15</v>
      </c>
      <c r="C136" s="6" t="s">
        <v>797</v>
      </c>
      <c r="D136" s="6" t="s">
        <v>170</v>
      </c>
    </row>
    <row r="137" customFormat="false" ht="22.35" hidden="false" customHeight="false" outlineLevel="0" collapsed="false">
      <c r="A137" s="6" t="s">
        <v>723</v>
      </c>
      <c r="B137" s="6" t="n">
        <v>32</v>
      </c>
      <c r="C137" s="6" t="s">
        <v>797</v>
      </c>
      <c r="D137" s="6" t="s">
        <v>170</v>
      </c>
    </row>
    <row r="138" customFormat="false" ht="22.35" hidden="false" customHeight="false" outlineLevel="0" collapsed="false">
      <c r="A138" s="6" t="s">
        <v>723</v>
      </c>
      <c r="B138" s="6" t="n">
        <v>33</v>
      </c>
      <c r="C138" s="6" t="s">
        <v>797</v>
      </c>
      <c r="D138" s="6" t="s">
        <v>170</v>
      </c>
    </row>
    <row r="139" customFormat="false" ht="22.35" hidden="false" customHeight="false" outlineLevel="0" collapsed="false">
      <c r="A139" s="6" t="s">
        <v>723</v>
      </c>
      <c r="B139" s="6" t="n">
        <v>34</v>
      </c>
      <c r="C139" s="6" t="s">
        <v>797</v>
      </c>
      <c r="D139" s="6" t="s">
        <v>170</v>
      </c>
    </row>
    <row r="140" customFormat="false" ht="22.35" hidden="false" customHeight="false" outlineLevel="0" collapsed="false">
      <c r="A140" s="6" t="s">
        <v>723</v>
      </c>
      <c r="B140" s="6" t="n">
        <v>36</v>
      </c>
      <c r="C140" s="6" t="s">
        <v>797</v>
      </c>
      <c r="D140" s="6" t="s">
        <v>170</v>
      </c>
    </row>
    <row r="141" customFormat="false" ht="22.35" hidden="false" customHeight="false" outlineLevel="0" collapsed="false">
      <c r="A141" s="6" t="s">
        <v>765</v>
      </c>
      <c r="B141" s="6" t="n">
        <v>48</v>
      </c>
      <c r="C141" s="6" t="s">
        <v>797</v>
      </c>
      <c r="D141" s="6" t="s">
        <v>516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2026-08-28T02:55:42Z</dcterms:created>
  <dc:creator>openpyxl</dc:creator>
  <dc:description/>
  <dc:language>en-US</dc:language>
  <cp:lastModifiedBy/>
  <dcterms:modified xsi:type="dcterms:W3CDTF">2026-08-28T02:55:42Z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